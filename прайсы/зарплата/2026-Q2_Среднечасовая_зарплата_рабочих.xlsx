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арплата 2026 2 кв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<sst xmlns="http://schemas.openxmlformats.org/spreadsheetml/2006/main" count="22" uniqueCount="22">
  <si>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Среднечасовая заработная плата рабочих-строителей по регионам Республики Узбекистан (без отчислений на социальное страхование), исчисленная из уровня среднестатистической месячной заработной платы по отрасли — 2026 год, 2 квартал</t>
  </si>
  <si>
    <t xml:space="preserve">№</t>
  </si>
  <si>
    <t xml:space="preserve">Регион</t>
  </si>
  <si>
    <t xml:space="preserve">Зарплата, сум/чел-ч (2026 2 кв.)</t>
  </si>
  <si>
    <t xml:space="preserve">С соц. страхом 12 %, сум/чел-ч</t>
  </si>
  <si>
    <t xml:space="preserve">Республика Узбекистан</t>
  </si>
  <si>
    <t xml:space="preserve">Республика Каракалпакстан</t>
  </si>
  <si>
    <t xml:space="preserve">Андижанская область</t>
  </si>
  <si>
    <t xml:space="preserve">Бухарская область</t>
  </si>
  <si>
    <t xml:space="preserve">Джизакская область</t>
  </si>
  <si>
    <t xml:space="preserve">Кашкадарьинская область</t>
  </si>
  <si>
    <t xml:space="preserve">Навоийская область</t>
  </si>
  <si>
    <t xml:space="preserve">Наманганская область</t>
  </si>
  <si>
    <t xml:space="preserve">Самаркандская область</t>
  </si>
  <si>
    <t xml:space="preserve">Сурхандарьинская область</t>
  </si>
  <si>
    <t xml:space="preserve">Сырдарьинская область</t>
  </si>
  <si>
    <t xml:space="preserve">Ташкентская область</t>
  </si>
  <si>
    <t xml:space="preserve">Ферганская область</t>
  </si>
  <si>
    <t xml:space="preserve">Хорезмская область</t>
  </si>
  <si>
    <t xml:space="preserve">Город Ташкент</t>
  </si>
  <si>
    <t xml:space="preserve">Среднемесячный фонд рабочего времени, ч</t>
  </si>
  <si>
    <t xml:space="preserve">Источник: «Зарплата 2026 2-кв.jpg» из архива «КАТАЛОГ 2026 2 КВАРТАЛ». Синим — данные источника; колонка D — формула (C×1,12), совпадает с источником.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</si>
</sst>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4" min="3" style="0" width="20"/>
  </cols>
  <sheetData>
    <row r="1" customFormat="false" ht="48" hidden="false" customHeight="true" outlineLevel="0" collapsed="false">
      <c r="A1" s="1" t="s">
        <v>0</v>
      </c>
      <c r="B1" s="1"/>
      <c r="C1" s="1"/>
      <c r="D1" s="1"/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n">
        <v>0</v>
      </c>
      <c r="B4" s="3" t="s">
        <v>5</v>
      </c>
      <c r="C4" s="4" t="n">
        <v>38848.88</v>
      </c>
      <c r="D4" s="5" t="n">
        <f aca="false">ROUND(C4*1.12,2)</f>
        <v>43510.75</v>
      </c>
    </row>
    <row r="5" customFormat="false" ht="15" hidden="false" customHeight="false" outlineLevel="0" collapsed="false">
      <c r="A5" s="3" t="n">
        <v>1</v>
      </c>
      <c r="B5" s="3" t="s">
        <v>6</v>
      </c>
      <c r="C5" s="4" t="n">
        <v>26022.97</v>
      </c>
      <c r="D5" s="5" t="n">
        <f aca="false">ROUND(C5*1.12,2)</f>
        <v>29145.73</v>
      </c>
    </row>
    <row r="6" customFormat="false" ht="15" hidden="false" customHeight="false" outlineLevel="0" collapsed="false">
      <c r="A6" s="3" t="n">
        <v>2</v>
      </c>
      <c r="B6" s="3" t="s">
        <v>7</v>
      </c>
      <c r="C6" s="4" t="n">
        <v>21681.54</v>
      </c>
      <c r="D6" s="5" t="n">
        <f aca="false">ROUND(C6*1.12,2)</f>
        <v>24283.32</v>
      </c>
    </row>
    <row r="7" customFormat="false" ht="15" hidden="false" customHeight="false" outlineLevel="0" collapsed="false">
      <c r="A7" s="3" t="n">
        <v>3</v>
      </c>
      <c r="B7" s="3" t="s">
        <v>8</v>
      </c>
      <c r="C7" s="4" t="n">
        <v>27861.08</v>
      </c>
      <c r="D7" s="5" t="n">
        <f aca="false">ROUND(C7*1.12,2)</f>
        <v>31204.41</v>
      </c>
    </row>
    <row r="8" customFormat="false" ht="15" hidden="false" customHeight="false" outlineLevel="0" collapsed="false">
      <c r="A8" s="3" t="n">
        <v>4</v>
      </c>
      <c r="B8" s="3" t="s">
        <v>9</v>
      </c>
      <c r="C8" s="4" t="n">
        <v>31512.02</v>
      </c>
      <c r="D8" s="5" t="n">
        <f aca="false">ROUND(C8*1.12,2)</f>
        <v>35293.46</v>
      </c>
    </row>
    <row r="9" customFormat="false" ht="15" hidden="false" customHeight="false" outlineLevel="0" collapsed="false">
      <c r="A9" s="3" t="n">
        <v>5</v>
      </c>
      <c r="B9" s="3" t="s">
        <v>10</v>
      </c>
      <c r="C9" s="4" t="n">
        <v>28284</v>
      </c>
      <c r="D9" s="5" t="n">
        <f aca="false">ROUND(C9*1.12,2)</f>
        <v>31678.08</v>
      </c>
    </row>
    <row r="10" customFormat="false" ht="15" hidden="false" customHeight="false" outlineLevel="0" collapsed="false">
      <c r="A10" s="3" t="n">
        <v>6</v>
      </c>
      <c r="B10" s="3" t="s">
        <v>11</v>
      </c>
      <c r="C10" s="4" t="n">
        <v>50792.38</v>
      </c>
      <c r="D10" s="5" t="n">
        <f aca="false">ROUND(C10*1.12,2)</f>
        <v>56887.47</v>
      </c>
    </row>
    <row r="11" customFormat="false" ht="15" hidden="false" customHeight="false" outlineLevel="0" collapsed="false">
      <c r="A11" s="3" t="n">
        <v>7</v>
      </c>
      <c r="B11" s="3" t="s">
        <v>12</v>
      </c>
      <c r="C11" s="4" t="n">
        <v>24783</v>
      </c>
      <c r="D11" s="5" t="n">
        <f aca="false">ROUND(C11*1.12,2)</f>
        <v>27756.96</v>
      </c>
    </row>
    <row r="12" customFormat="false" ht="15" hidden="false" customHeight="false" outlineLevel="0" collapsed="false">
      <c r="A12" s="3" t="n">
        <v>8</v>
      </c>
      <c r="B12" s="3" t="s">
        <v>13</v>
      </c>
      <c r="C12" s="4" t="n">
        <v>26891.06</v>
      </c>
      <c r="D12" s="5" t="n">
        <f aca="false">ROUND(C12*1.12,2)</f>
        <v>30117.99</v>
      </c>
    </row>
    <row r="13" customFormat="false" ht="15" hidden="false" customHeight="false" outlineLevel="0" collapsed="false">
      <c r="A13" s="3" t="n">
        <v>9</v>
      </c>
      <c r="B13" s="3" t="s">
        <v>14</v>
      </c>
      <c r="C13" s="4" t="n">
        <v>23335.37</v>
      </c>
      <c r="D13" s="5" t="n">
        <f aca="false">ROUND(C13*1.12,2)</f>
        <v>26135.61</v>
      </c>
    </row>
    <row r="14" customFormat="false" ht="15" hidden="false" customHeight="false" outlineLevel="0" collapsed="false">
      <c r="A14" s="3" t="n">
        <v>10</v>
      </c>
      <c r="B14" s="3" t="s">
        <v>15</v>
      </c>
      <c r="C14" s="4" t="n">
        <v>26704.92</v>
      </c>
      <c r="D14" s="5" t="n">
        <f aca="false">ROUND(C14*1.12,2)</f>
        <v>29909.51</v>
      </c>
    </row>
    <row r="15" customFormat="false" ht="15" hidden="false" customHeight="false" outlineLevel="0" collapsed="false">
      <c r="A15" s="3" t="n">
        <v>11</v>
      </c>
      <c r="B15" s="3" t="s">
        <v>16</v>
      </c>
      <c r="C15" s="4" t="n">
        <v>47624.89</v>
      </c>
      <c r="D15" s="5" t="n">
        <f aca="false">ROUND(C15*1.12,2)</f>
        <v>53339.88</v>
      </c>
    </row>
    <row r="16" customFormat="false" ht="15" hidden="false" customHeight="false" outlineLevel="0" collapsed="false">
      <c r="A16" s="3" t="n">
        <v>12</v>
      </c>
      <c r="B16" s="3" t="s">
        <v>17</v>
      </c>
      <c r="C16" s="4" t="n">
        <v>20873.78</v>
      </c>
      <c r="D16" s="5" t="n">
        <f aca="false">ROUND(C16*1.12,2)</f>
        <v>23378.63</v>
      </c>
    </row>
    <row r="17" customFormat="false" ht="15" hidden="false" customHeight="false" outlineLevel="0" collapsed="false">
      <c r="A17" s="3" t="n">
        <v>13</v>
      </c>
      <c r="B17" s="3" t="s">
        <v>18</v>
      </c>
      <c r="C17" s="4" t="n">
        <v>29288.84</v>
      </c>
      <c r="D17" s="5" t="n">
        <f aca="false">ROUND(C17*1.12,2)</f>
        <v>32803.5</v>
      </c>
    </row>
    <row r="18" customFormat="false" ht="15" hidden="false" customHeight="false" outlineLevel="0" collapsed="false">
      <c r="A18" s="6" t="n">
        <v>14</v>
      </c>
      <c r="B18" s="6" t="s">
        <v>19</v>
      </c>
      <c r="C18" s="7" t="n">
        <v>51955.87</v>
      </c>
      <c r="D18" s="8" t="n">
        <f aca="false">ROUND(C18*1.12,2)</f>
        <v>58190.57</v>
      </c>
    </row>
    <row r="19" customFormat="false" ht="15" hidden="false" customHeight="false" outlineLevel="0" collapsed="false">
      <c r="A19" s="6"/>
      <c r="B19" s="6" t="s">
        <v>20</v>
      </c>
      <c r="C19" s="6" t="n">
        <v>166.9</v>
      </c>
      <c r="D19" s="6" t="n">
        <v>186.93</v>
      </c>
    </row>
    <row r="21" customFormat="false" ht="15" hidden="false" customHeight="false" outlineLevel="0" collapsed="false">
      <c r="A21" s="9" t="s">
        <v>21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2026-10-30T10:37:07Z</dcterms:created>
  <dc:creator>openpyxl</dc:creator>
  <dc:description/>
  <dc:language>en-US</dc:language>
  <cp:lastModifiedBy/>
  <dcterms:modified xsi:type="dcterms:W3CDTF">2026-10-30T10:37:07Z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