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Новая папка (2)\цены\"/>
    </mc:Choice>
  </mc:AlternateContent>
  <xr:revisionPtr revIDLastSave="0" documentId="13_ncr:1_{E3696997-F710-4EBE-92D0-AB5C7244DAC4}" xr6:coauthVersionLast="47" xr6:coauthVersionMax="47" xr10:uidLastSave="{00000000-0000-0000-0000-000000000000}"/>
  <bookViews>
    <workbookView xWindow="28680" yWindow="-4650" windowWidth="38640" windowHeight="21120" xr2:uid="{9D07A4BB-55AE-4BD4-BCFE-6135851B6AF8}"/>
  </bookViews>
  <sheets>
    <sheet name="RES" sheetId="1" r:id="rId1"/>
  </sheets>
  <externalReferences>
    <externalReference r:id="rId2"/>
  </externalReferences>
  <definedNames>
    <definedName name="_xlnm._FilterDatabase" localSheetId="0" hidden="1">RES!$A$3:$F$128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6" i="1" l="1"/>
  <c r="F65" i="1" l="1"/>
  <c r="F58" i="1" l="1"/>
</calcChain>
</file>

<file path=xl/sharedStrings.xml><?xml version="1.0" encoding="utf-8"?>
<sst xmlns="http://schemas.openxmlformats.org/spreadsheetml/2006/main" count="524" uniqueCount="393">
  <si>
    <t>№№</t>
  </si>
  <si>
    <t>РЕСУРС</t>
  </si>
  <si>
    <t>ОБОСНОВАНИЕ</t>
  </si>
  <si>
    <t>НАИМЕНОВАНИЕ РЕСУРСА</t>
  </si>
  <si>
    <t>ЕД.ИЗМ</t>
  </si>
  <si>
    <t>ЦЕНА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</si>
  <si>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</si>
  <si>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</si>
  <si>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</si>
  <si>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</si>
  <si>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</si>
  <si>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</si>
  <si>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</si>
  <si>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</si>
  <si>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</si>
  <si>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</si>
  <si>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</si>
  <si>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</si>
  <si>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</si>
  <si>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</si>
  <si>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</si>
  <si>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</si>
  <si>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</si>
  <si>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</si>
  <si>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</si>
  <si>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</si>
  <si>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</si>
  <si>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</si>
  <si>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</si>
  <si>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</si>
  <si>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</si>
  <si>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</si>
  <si>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</si>
  <si>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</si>
  <si>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</si>
  <si>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</si>
  <si>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</si>
  <si>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</si>
  <si>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</si>
  <si>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</si>
  <si>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</si>
  <si>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</si>
  <si>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</si>
  <si>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</si>
  <si>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</si>
  <si>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</si>
  <si>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</si>
  <si>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</si>
  <si>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</si>
  <si>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</si>
  <si>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</si>
  <si>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</si>
  <si>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</si>
  <si>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</si>
  <si>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</si>
  <si>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</si>
  <si>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</si>
  <si>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</si>
  <si>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</si>
  <si>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</si>
  <si>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</si>
  <si>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Ц400630</t>
  </si>
  <si>
    <t>ПЛИТЫ ДОРОЖНЫЕ ПДН-6Х2 V=1,68М3</t>
  </si>
  <si>
    <t>ШТ</t>
  </si>
  <si>
    <t>УЗПОУ-ГА21</t>
  </si>
  <si>
    <t>ТРУБНЫЙ ОБЖИМНОЙ ФИТИНГ ИЗ НЕРЖ. СТАЛИ, СОЕДИНИТЕЛЬ С ВНУТРЕННЕЙ РЕЗЬБОЙ, ДИАМ. ТРУБКИ 1/2 ДЮЙМА - ВНУТР. РЕЗЬБА NPT 1/2 ДЮЙМА.SS-810-7-8 SWAGELOK</t>
  </si>
  <si>
    <t>УЗПОУ-ГА22</t>
  </si>
  <si>
    <t>ТРУБНЫЙ ОБЖИМНОЙ ФИТИНГ ИЗ НЕРЖ. СТАЛИ, СОЕДИНИТЕЛЬ С НАРУЖ. РЕЗЬБОЙ, НАРУЖ. ДИАМ. ТРУБКИ 1/2 ДЮЙМА - НАРУЖ. РЕЗЬБА NPT 1/2 ДЮЙМА.SS-810-1-8 SWAGELOK</t>
  </si>
  <si>
    <t>УЗПОУ-ГА23</t>
  </si>
  <si>
    <t>ИМПУЛЬСНАЯ ТРУБКА 1/2X0,049; 12X18H10TSS-T8-S-049-20 SWAGELOK</t>
  </si>
  <si>
    <t>М</t>
  </si>
  <si>
    <t>УЗПОУ-ГА24</t>
  </si>
  <si>
    <t>ТРУБКА УГЛОВАЯ. ПРИСОЕДИНЕНИЕ СО СТОРОНЫ ПРОЦЕССА - НАРУЖНАЯ РЕЗЬБА 1/2 NPT-M, ПРИСОЕДИНЕНИЕ СО СТОРОНЫ ДАТЧИКА - ВНУТРЕННЯЯ РЕЗЬБА 1/2 NPT-F ОС-16-02-Ш(В)-Ш(Н)-1/ 2NPT-1/2NPT-АЦ-Б SWAGELOK</t>
  </si>
  <si>
    <t>УЗПОУ-ГА25</t>
  </si>
  <si>
    <t>ТРУБКА ПРЯМАЯ 1/2 NPT-M - 1/2 NPT-F (ДЛИНА ТРУБКИ 200ММ)"ОС-16-01-Ш(В)-Ш(Н)-1/2 NPT-1/2NPT-Б- ДЛИНА ТРУБКИ 200ММ SWAGELOK</t>
  </si>
  <si>
    <t>УЗПОУ-ГА26</t>
  </si>
  <si>
    <t>МУФТА ПРОХОДНАЯ ДИЭЛЕКТРИЧЕСКАЯ НА ТРУБКУ 1/2"SS-8-DE-6 SWAGELOK</t>
  </si>
  <si>
    <t>УЗПОУ-ГА27</t>
  </si>
  <si>
    <t>ТРУБА ЖЕСТКАЯ ГЛАДКАЯ ПНД Д50 ММ ДЛЯ ЗАЩИТЫ КАБЕЛЬНЫХ ЛИНИЙ, УФ-СТОЙКАЯ, БЕЗ ПРОТЯЖКИ.ДИАМЕТР ТРУБЫ НАРУЖНЫЙ: 50 ММ, ТЕМПЕРАТУРА ЭКСПЛУАТАЦИИ ОТ -40°C ДО +90°C ПНД/ПВД-50</t>
  </si>
  <si>
    <t>УЗПОУ-ГА28</t>
  </si>
  <si>
    <t>ЖЕСТКАЯ ДВУСТЕННАЯ ГОФРИРОВАННАЯ ТРУБА ДЛЯ ПРОКЛАДКИ В ГРУНТЕ И ПОД АВТОМОБИЛЬНЫМИ ДОРОГАМИ, ПНД, Д75ММ ПНД/ГЛД-75</t>
  </si>
  <si>
    <t>УЗПОУ-ГА29</t>
  </si>
  <si>
    <t>ХОМУТ СТАЛЬНОЙ Х50 ТУ 34-1107-80</t>
  </si>
  <si>
    <t>УЗПОУ-ГА30</t>
  </si>
  <si>
    <t>КАБЕЛЬНЫЙ НАКОНЕЧНИК AHI DIN N 6/12</t>
  </si>
  <si>
    <t>УЗПОУ-ГА31</t>
  </si>
  <si>
    <t>КАБЕЛЬНЫЙ НАКОНЕЧНИК С ИЗОЛИРОВАННЫМ ФЛАНЦЕМ НШВИ, СЕЧЕНИЕ ПРОВОДА - 1,0 ММ2 НШВИ 1,0-10</t>
  </si>
  <si>
    <t>УЗПОУ-ГА32</t>
  </si>
  <si>
    <t>КАБЕЛЬНЫЙ НАКОНЕЧНИК С ИЗОЛИРОВАННЫМ ФЛАНЦЕМ НШВИ, СЕЧЕНИЕ ПРОВОДА - 2,5 ММ2 НШВИ 2,5-10</t>
  </si>
  <si>
    <t>УЗПОУ-ГА33</t>
  </si>
  <si>
    <t>ХОМУТ ЧЕРВЯЧНЫЙ (МЕТАЛЛИЧЕСКИЙ, ОЦИНКОВАНЫЙ) Д100ММ ДЛЯ КРЕПЛЕНИЯ К ТРУБЕ КАБЕЛЯ ОТ СЕНСОРА К ДАТЧИКУ SMP-85880-1</t>
  </si>
  <si>
    <t>УЗПОУ-ГА34</t>
  </si>
  <si>
    <t>СТАЛЬ ЛИСТОВАЯ, 2X500Х500 ГОСТ 19903-2015 ОК360В-1 ГОСТ 16523-97</t>
  </si>
  <si>
    <t>УЗПОУ-ГА35</t>
  </si>
  <si>
    <t>СТАЛЬ ЛИСТОВАЯ, 4X200Х200 ГОСТ 19903-2015 ОК 360В-1 ГОСТ 16523-97</t>
  </si>
  <si>
    <t>УЗПОУ-ГА36</t>
  </si>
  <si>
    <t>СТАЛЬ ЛИСТОВАЯ, 4Х400Х500 ГОСТ 19903-2015 СТ3СП ГОСТ 14637-89</t>
  </si>
  <si>
    <t>УЗПОУ-ГА37</t>
  </si>
  <si>
    <t>ПЛИТА ОПОРНАЯ (МЕТАЛЛИЧЕСКАЯ) 300X300X10 ГОСТ 19903-2015 СТ3СП ГОСТ 14637-89</t>
  </si>
  <si>
    <t>УЗПОУ-ГА38</t>
  </si>
  <si>
    <t>ТРУБА ОЦИНКОВАННАЯ Ц-50X3,5 ГОСТ 3262-75</t>
  </si>
  <si>
    <t>УЗПОУ-ГА39</t>
  </si>
  <si>
    <t>ПРОФИЛЬ ПЕРФОРИРОВАННЫЙ Z-ОБРАЗНЫЙ К241 (L=300ММ)</t>
  </si>
  <si>
    <t>УЗПОУ-ГА40</t>
  </si>
  <si>
    <t>ЛЕНТА СИГНАЛЬНАЯ, ШИРИНА 150 ММ ЛСЭ-150</t>
  </si>
  <si>
    <t>УЗПОУ-ГА41</t>
  </si>
  <si>
    <t>ЛЕНТА СИГНАЛЬНАЯ, ШИРИНА 400 ММ ЛСЭ-400</t>
  </si>
  <si>
    <t>УЗПОУ-ГА42</t>
  </si>
  <si>
    <t>ЛЕНТА СИГНАЛЬНАЯ, ШИРИНА 600 ММ ЛСЭ-600</t>
  </si>
  <si>
    <t>УЗПОУ-ГА43</t>
  </si>
  <si>
    <t>ТЕРМОУСАДОЧНАЯ ТРУБКА С КОЭФФИЦИЕНТОМ УСАДКИ 2:1ТНТНГ-LS-60/30</t>
  </si>
  <si>
    <t>ЦСТОЛБИК</t>
  </si>
  <si>
    <t>СТОЛБИК СИГНАЛЬНЫЙ ТИПА С1 ГОСТ Р 50970-2011</t>
  </si>
  <si>
    <t>ЦЗНАК</t>
  </si>
  <si>
    <t>ПРЕДУПРЕЖДАЮЩИЙ ЗНАК</t>
  </si>
  <si>
    <t>УЗПОУ-ГА48</t>
  </si>
  <si>
    <t>ТРУБА ЖЕСТКАЯ ГЛАДКАЯ ПНД, ДЛЯ ЗАЩИТЫ КАБЕЛЬНЫХ ЛИНИЙ, ДЛЯ ПРОКЛАДКИ В ГРУНТЕ И НА ОТКРЫТОМ ВОЗДУХЕ, ДИАМЕТР ТРУБЫ НАРУЖНЫЙ:75 ММ, УФ-СТОЙКАЯ, БЕЗ ПРОТЯЖКИ ПНД/ГЛД-75</t>
  </si>
  <si>
    <t>УЗПОУ-ГА47</t>
  </si>
  <si>
    <t>СТАЛЬ ЛИСТОВАЯ, 4X102Х164 ГОСТ 19903-74 СТ3СП ГОСТ 14637-89</t>
  </si>
  <si>
    <t>УЗПОУ-ГА46</t>
  </si>
  <si>
    <t>ЛЕНТА СИГНАЛЬНАЯ, ШИРИНА 300 ММ ЛСЭ-300</t>
  </si>
  <si>
    <t>УЗПОУ-ГА50</t>
  </si>
  <si>
    <t>УЗПОУ-ГА51</t>
  </si>
  <si>
    <t>ТЕРМОУСАДОЧНАЯ ТРУБКА С КОЭФФИЦИЕНТОМ УСАДКИ 2:1ТНТНГ-LS-100/50</t>
  </si>
  <si>
    <t>003728</t>
  </si>
  <si>
    <t>АРМАТУРА ДЛЯ МОНОЛИТНЫХ ЖЕЛЕЗОБЕТОННЫХ КОНСТРУКЦИЙ В ВИДЕ СЕТОК И ПЛОСКИХ КАРКАСОВ, ПЕРИОДИЧЕСКОГО ПРОФИЛЯ КЛАССА АIII, ДИАМЕТРОМ 14 ММ</t>
  </si>
  <si>
    <t>Т</t>
  </si>
  <si>
    <t>009210</t>
  </si>
  <si>
    <t>С140-9210</t>
  </si>
  <si>
    <t>ВОДА</t>
  </si>
  <si>
    <t>М3</t>
  </si>
  <si>
    <t>009219</t>
  </si>
  <si>
    <t>030025</t>
  </si>
  <si>
    <t>С111-25</t>
  </si>
  <si>
    <t>АСБЕСТОВЫЙ ШНУР ОБЩЕГО НАЗНАЧЕНИЯ (ШАОН-1), ДИАМЕТРОМ 3,0-5,0 ММ</t>
  </si>
  <si>
    <t>030220</t>
  </si>
  <si>
    <t>БУМАГА ОБЕРТОЧНАЯ ЛИСТОВАЯ</t>
  </si>
  <si>
    <t>1000М2</t>
  </si>
  <si>
    <t>030407</t>
  </si>
  <si>
    <t>ГВОЗДИ СТРОИТЕЛЬНЫЕ</t>
  </si>
  <si>
    <t>030434</t>
  </si>
  <si>
    <t>ДЮБЕЛИ РАСПОРНЫЕ</t>
  </si>
  <si>
    <t>100ШТ</t>
  </si>
  <si>
    <t>030478</t>
  </si>
  <si>
    <t>ДЮБЕЛИ ДЛЯ ПРИСТРЕЛКИ</t>
  </si>
  <si>
    <t>10ШТ</t>
  </si>
  <si>
    <t>030484</t>
  </si>
  <si>
    <t>БОЛТЫ СТРОИТЕЛЬНЫЕ С ГАЙКАМИ И ШАЙБАМИ</t>
  </si>
  <si>
    <t>КГ</t>
  </si>
  <si>
    <t>030652</t>
  </si>
  <si>
    <t>ИЗВЕСТЬ СТРОИТЕЛЬНАЯ НЕГАШЕНАЯ КОМОВАЯ, СОРТ 1</t>
  </si>
  <si>
    <t>031087</t>
  </si>
  <si>
    <t>КРАСКА</t>
  </si>
  <si>
    <t>031176</t>
  </si>
  <si>
    <t>ДЮБЕЛИ ПЛАСТМАССОВЫЕ, ДИАМЕТР 14 ММ</t>
  </si>
  <si>
    <t>10 ШТ</t>
  </si>
  <si>
    <t>031195</t>
  </si>
  <si>
    <t>БИРКИ МАРКИРОВОЧНЫЕ ПЛАСТМАССОВЫЕ</t>
  </si>
  <si>
    <t>031248</t>
  </si>
  <si>
    <t>С1610-1086</t>
  </si>
  <si>
    <t>ЛАК БИТУМНЫЙ БТ-123</t>
  </si>
  <si>
    <t>031419</t>
  </si>
  <si>
    <t>С1113-21</t>
  </si>
  <si>
    <t>ГРУНТОВКА ГФ-021 КРАСНО-КОРИЧНЕВАЯ</t>
  </si>
  <si>
    <t>031434</t>
  </si>
  <si>
    <t>ГРУНТОВКА</t>
  </si>
  <si>
    <t>031441</t>
  </si>
  <si>
    <t>ГРУНТОВКА БИТУМНАЯ</t>
  </si>
  <si>
    <t>031445</t>
  </si>
  <si>
    <t>КРАСКИ ПЕРХЛОРВИНИЛОВЫЕ</t>
  </si>
  <si>
    <t>031508</t>
  </si>
  <si>
    <t>С111-838</t>
  </si>
  <si>
    <t>РАСТВОРИТЕЛИ ДЛЯ ЛАКОКРАСОЧНЫХ МАТЕРИАЛОВ Р-4</t>
  </si>
  <si>
    <t>031624</t>
  </si>
  <si>
    <t>СТЕАРИН</t>
  </si>
  <si>
    <t>031681</t>
  </si>
  <si>
    <t>С111-633</t>
  </si>
  <si>
    <t>ПАРАФИН НЕФТЯНОЙ ТВЕРДЫЙ П-3</t>
  </si>
  <si>
    <t>031725</t>
  </si>
  <si>
    <t>КЛЕЙ БМК5</t>
  </si>
  <si>
    <t>031760</t>
  </si>
  <si>
    <t>С1113-211</t>
  </si>
  <si>
    <t>ЭМАЛЬ ЭП-140 ЗАЩИТНАЯ</t>
  </si>
  <si>
    <t>031776</t>
  </si>
  <si>
    <t>С1113-227</t>
  </si>
  <si>
    <t>ЭМАЛЬ ХВ-124 ЗАЩИТНАЯ, ЗЕЛЕНАЯ</t>
  </si>
  <si>
    <t>56</t>
  </si>
  <si>
    <t>031917</t>
  </si>
  <si>
    <t>ХОЛСТ СТЕКЛЯННЫЙ ВВГ</t>
  </si>
  <si>
    <t>10М2</t>
  </si>
  <si>
    <t>57</t>
  </si>
  <si>
    <t>032136</t>
  </si>
  <si>
    <t>С1610-1063</t>
  </si>
  <si>
    <t>МАСТИКА БИТУМНО-ПОЛИМЕРНАЯ</t>
  </si>
  <si>
    <t>58</t>
  </si>
  <si>
    <t>032534</t>
  </si>
  <si>
    <t>ПРОВОЛОКА СВАРОЧНАЯ ЛЕГИРОВАННАЯ ДИАМЕТРОМ 4 ММ</t>
  </si>
  <si>
    <t>59</t>
  </si>
  <si>
    <t>032540</t>
  </si>
  <si>
    <t>С111-813</t>
  </si>
  <si>
    <t>ПРОВОЛОКА СТАЛЬНАЯ НИЗКОУГЛЕРОДИСТАЯ РАЗНОГО НАЗНАЧЕНИЯ ОЦИНКОВАННАЯ ДИАМЕТРОМ 3,0 ММ</t>
  </si>
  <si>
    <t>60</t>
  </si>
  <si>
    <t>033746</t>
  </si>
  <si>
    <t>С1610-1055</t>
  </si>
  <si>
    <t>СТАЛЬ ПОЛОСОВАЯ СПОКОЙНАЯ МАРКИ СТ3СП, ШИРИНОЙ 50-200 ММ ТОЛЩИНОЙ 4-5 ММ</t>
  </si>
  <si>
    <t>61</t>
  </si>
  <si>
    <t>034035</t>
  </si>
  <si>
    <t>С111-1292</t>
  </si>
  <si>
    <t>УАЙТ-СПИРИТ</t>
  </si>
  <si>
    <t>62</t>
  </si>
  <si>
    <t>035310</t>
  </si>
  <si>
    <t>ЭЛЕКТРОДЫ ДИАМЕТРОМ 4 ММ Э42</t>
  </si>
  <si>
    <t>63</t>
  </si>
  <si>
    <t>035377</t>
  </si>
  <si>
    <t>ЭЛЕКТРОДЫ ДИАМЕТРОМ 4 ММ Э42А</t>
  </si>
  <si>
    <t>64</t>
  </si>
  <si>
    <t>035518</t>
  </si>
  <si>
    <t>С111-865</t>
  </si>
  <si>
    <t>РОЛИ СВИНЦОВЫЕ, МАРКИ С1 ТОЛЩИНОЙ 1,0 ММ</t>
  </si>
  <si>
    <t>65</t>
  </si>
  <si>
    <t>035550</t>
  </si>
  <si>
    <t>ФОЛЬГА АЛЮМИНИЕВАЯ ДЛЯ ТЕХНИЧЕСКИХ ЦЕЛЕЙ МЯГКАЯ, РУЛОННАЯ, ТОЛЩИНОЙ 0,1 ММ</t>
  </si>
  <si>
    <t>66</t>
  </si>
  <si>
    <t>036008</t>
  </si>
  <si>
    <t>ЛЕСОМАТЕРИАЛЫ КРУГЛЫЕ ХВОЙНЫХ ПОРОД. ЛЕСОМАТЕРИАЛЫ ДЛЯ СТРОИТЕЛЬСТВА ДЛИНОЙ 3-6,5 М, ДИАМЕТРОМ 14-24 СМ</t>
  </si>
  <si>
    <t>67</t>
  </si>
  <si>
    <t>036025</t>
  </si>
  <si>
    <t>ПИЛОМАТЕРИАЛЫ ХВОЙНЫХ ПОРОД. БРУСКИ ОБРЕЗНЫЕ ДЛИНОЙ 4-6,5 М, ШИРИНОЙ 75-150 ММ, ТОЛЩИНОЙ 40-75 ММ III СОРТА</t>
  </si>
  <si>
    <t>68</t>
  </si>
  <si>
    <t>036061</t>
  </si>
  <si>
    <t>ПИЛОМАТЕРИАЛЫ ХВОЙНЫХ ПОРОД. ДОСКИ ОБРЕЗНЫЕ ДЛИНОЙ 4-6,5 М, ШИРИНОЙ 75-150 ММ, ТОЛЩИНОЙ 44 ММ И БОЛЕЕ III СОРТА</t>
  </si>
  <si>
    <t>69</t>
  </si>
  <si>
    <t>037819</t>
  </si>
  <si>
    <t>С113-819</t>
  </si>
  <si>
    <t>ТРУБЫ СТАЛЬНЫЕ СВАРНЫЕ ДЛЯ МАГИСТРАЛЬНЫХ ГАЗОНЕФТЕПРОВОДОВ ИЗ СТАЛИ КЛАССА К-52 ПО ГОСТ 20295-85, 530X10.0 ММ</t>
  </si>
  <si>
    <t>70</t>
  </si>
  <si>
    <t>040462</t>
  </si>
  <si>
    <t>СМОЛА ЭПОКСИДНАЯ МАРКИ ЭД-20</t>
  </si>
  <si>
    <t>71</t>
  </si>
  <si>
    <t>041060</t>
  </si>
  <si>
    <t>СТАЛЬ ШВЕЛЛЕРНАЯ НОМЕР 4</t>
  </si>
  <si>
    <t>72</t>
  </si>
  <si>
    <t>041514</t>
  </si>
  <si>
    <t>НИТКИ СУРОВЫЕ</t>
  </si>
  <si>
    <t>73</t>
  </si>
  <si>
    <t>041867</t>
  </si>
  <si>
    <t>БОЛТЫ С ГАЙКАМИ И ШАЙБАМИ ОЦИНКОВАННЫЕ, ДИАМЕТР 6 ММ</t>
  </si>
  <si>
    <t>74</t>
  </si>
  <si>
    <t>044046</t>
  </si>
  <si>
    <t>БРЕЗЕНТ</t>
  </si>
  <si>
    <t>М2</t>
  </si>
  <si>
    <t>75</t>
  </si>
  <si>
    <t>044629</t>
  </si>
  <si>
    <t>ТКАНЬ МЕШОЧНАЯ</t>
  </si>
  <si>
    <t>76</t>
  </si>
  <si>
    <t>044897</t>
  </si>
  <si>
    <t>ШЛИФКРУГИ</t>
  </si>
  <si>
    <t>77</t>
  </si>
  <si>
    <t>045527</t>
  </si>
  <si>
    <t>БИРКИ МАРКИРОВОЧНЫЕ</t>
  </si>
  <si>
    <t>78</t>
  </si>
  <si>
    <t>045667</t>
  </si>
  <si>
    <t>ВТУЛКИ ИЗОЛИРУЮЩИЕ</t>
  </si>
  <si>
    <t>79</t>
  </si>
  <si>
    <t>045852</t>
  </si>
  <si>
    <t>ЖИР ПАЯЛЬНЫЙ</t>
  </si>
  <si>
    <t>80</t>
  </si>
  <si>
    <t>045882</t>
  </si>
  <si>
    <t>ЗАГЛУШКИ</t>
  </si>
  <si>
    <t>81</t>
  </si>
  <si>
    <t>045883</t>
  </si>
  <si>
    <t>КНОПКИ МОНТАЖНЫЕ</t>
  </si>
  <si>
    <t>1000ШТ</t>
  </si>
  <si>
    <t>82</t>
  </si>
  <si>
    <t>046109</t>
  </si>
  <si>
    <t>МУФТА</t>
  </si>
  <si>
    <t>83</t>
  </si>
  <si>
    <t>046163</t>
  </si>
  <si>
    <t>СКОБЫ</t>
  </si>
  <si>
    <t>84</t>
  </si>
  <si>
    <t>049353</t>
  </si>
  <si>
    <t>ДЮБЕЛИ РАСПОРНЫЕ (МАРКА ПО ПРОЕКТУ)</t>
  </si>
  <si>
    <t>85</t>
  </si>
  <si>
    <t>051620</t>
  </si>
  <si>
    <t>ЩИТЫ ИЗ ДОСОК ТОЛЩИНОЙ 40 ММ</t>
  </si>
  <si>
    <t>86</t>
  </si>
  <si>
    <t>058225</t>
  </si>
  <si>
    <t>НЕФРАС С4-150/200 (ЗАМЕНИТЕЛЬ УАЙТ-СПИРИТА)</t>
  </si>
  <si>
    <t>87</t>
  </si>
  <si>
    <t>058625</t>
  </si>
  <si>
    <t>СОСТАВ ДЛЯ ЗАЛИВКИ КАБЕЛЬНЫХ МУФТ МАРКИ МБ-70</t>
  </si>
  <si>
    <t>88</t>
  </si>
  <si>
    <t>058630</t>
  </si>
  <si>
    <t>ДЮБЕЛИ ПЛАСТМАССОВЫЕ С ШУРУПАМИ 12Х70 ММ</t>
  </si>
  <si>
    <t>89</t>
  </si>
  <si>
    <t>058653</t>
  </si>
  <si>
    <t>ПРОВОДА МОНТАЖНЫЕ С ПЛАСТМАССОВОЙ ИЗОЛЯЦИЕЙ МАРКИ НВ ОДНОЖИЛЬНЫЕ ИЗ МЕДНОЙ ЛУЖЕННОЙ ПРОВОЛОКИ КОНСТРУКЦИЕЙ ЖИЛЫ КЛАССА 1 СЕЧЕНИЕМ 0,75 ММ НА НОМИНАЛЬНОЕ НАПРЯЖЕНИЕ 600 В</t>
  </si>
  <si>
    <t>1000 М</t>
  </si>
  <si>
    <t>90</t>
  </si>
  <si>
    <t>058663</t>
  </si>
  <si>
    <t>БОКСЫ БМ</t>
  </si>
  <si>
    <t>91</t>
  </si>
  <si>
    <t>058669</t>
  </si>
  <si>
    <t>ФЛЮС ЛТИ-1</t>
  </si>
  <si>
    <t>92</t>
  </si>
  <si>
    <t>063154</t>
  </si>
  <si>
    <t>ФЛЮС АН-47</t>
  </si>
  <si>
    <t>93</t>
  </si>
  <si>
    <t>064090</t>
  </si>
  <si>
    <t>КОНДУКТОР ИНВЕНТАРНЫЙ МЕТАЛЛИЧЕСКИЙ</t>
  </si>
  <si>
    <t>94</t>
  </si>
  <si>
    <t>064235</t>
  </si>
  <si>
    <t>ЛЕНТА К226</t>
  </si>
  <si>
    <t>100М</t>
  </si>
  <si>
    <t>95</t>
  </si>
  <si>
    <t>064457</t>
  </si>
  <si>
    <t>НАКОНЕЧНИКИ КАБЕЛЬНЫЕ</t>
  </si>
  <si>
    <t>96</t>
  </si>
  <si>
    <t>064581</t>
  </si>
  <si>
    <t>ПРОКЛАДКИ ПАРОНИТОВЫЕ</t>
  </si>
  <si>
    <t>97</t>
  </si>
  <si>
    <t>064674</t>
  </si>
  <si>
    <t>ПАТРОНЫ ДЛЯ ПРИСТРЕЛКИ</t>
  </si>
  <si>
    <t>98</t>
  </si>
  <si>
    <t>064809</t>
  </si>
  <si>
    <t>ПАТРУБКИ</t>
  </si>
  <si>
    <t>99</t>
  </si>
  <si>
    <t>064856</t>
  </si>
  <si>
    <t>ПРИПОИ ОЛОВЯННО-СВИНЦОВЫЕ БЕССУРЬМЯНИСТЫЕ МАРКИ ПОС30</t>
  </si>
  <si>
    <t>100</t>
  </si>
  <si>
    <t>065140</t>
  </si>
  <si>
    <t>СТАЛЬ УГЛОВАЯ, РАВНОПОЛОЧНАЯ, МАРКА СТАЛИ ВСТ3КП2 РАЗМЕРОМ 50Х50Х5 ММ</t>
  </si>
  <si>
    <t>101</t>
  </si>
  <si>
    <t>065160</t>
  </si>
  <si>
    <t>СЕРЬГА</t>
  </si>
  <si>
    <t>102</t>
  </si>
  <si>
    <t>087431</t>
  </si>
  <si>
    <t>ПЛЕНКА ПОЛИЭТИЛЕНОВАЯ ТОЛЩИНОЙ 0,150 ММ</t>
  </si>
  <si>
    <t>103</t>
  </si>
  <si>
    <t>092514</t>
  </si>
  <si>
    <t>С157-1</t>
  </si>
  <si>
    <t>ПРОВОДА ДЛЯ ВОЗДУШНЫХ ЛИНИЙ ЭЛЕКТРОПЕРЕДАЧИ МЕДНЫЕ МАРКИ М СЕЧ. 4 ММ2</t>
  </si>
  <si>
    <t>104</t>
  </si>
  <si>
    <t>097117</t>
  </si>
  <si>
    <t>С1544-89</t>
  </si>
  <si>
    <t>СТЕКЛОЛЕНТА ЛИПКАЯ ИЗОЛЯЦИОННАЯ НА ПОЛИКАСИНОВОМ КОМПАУНДЕ МАРКИ ЛСЭПЛ, ШИРИНОЙ 20-30 ММ, ТОЛЩИНОЙ ОТ 0,14 ДО 0,19 ММ ВКЛЮЧИТЕЛЬНО</t>
  </si>
  <si>
    <t>105</t>
  </si>
  <si>
    <t>097882</t>
  </si>
  <si>
    <t>ПРИПОИ ОЛОВЯННО-СВИНЦОВЫЕ СУРЬМЯНИСТЫЕ МАРКИ ПОССУ 30-2</t>
  </si>
  <si>
    <t>106</t>
  </si>
  <si>
    <t>925628</t>
  </si>
  <si>
    <t>АНКЕРНЫЕ ДЕТАЛИ ИЗ ПРЯМЫХ ИЛИ ГНУТЫХ КРУГЛЫХ СТЕРЖНЕЙ С РЕЗЬБОЙ (В КОМПЛЕКТЕ С ШАЙБАМИ И ГАЙКАМИ ИЛИ БЕЗ НИХ) ПОСТАВЛЯЕМЫЕ ОТДЕЛЬНО</t>
  </si>
  <si>
    <t>006321</t>
  </si>
  <si>
    <t>С140-6321</t>
  </si>
  <si>
    <t>БЕТОН ТЯЖЕЛЫЙ М-200 ФРАКЦИИ 5-10ММ</t>
  </si>
  <si>
    <t>006340</t>
  </si>
  <si>
    <t>С140-6340</t>
  </si>
  <si>
    <t>БЕТОН ТЯЖЕЛЫЙ М-400 ФРАКЦИИ 5-10ММ</t>
  </si>
  <si>
    <t>012303</t>
  </si>
  <si>
    <t>СМЕСЬ ПЕСЧАНО-ГРАВИЙНАЯ ПРИРОДНАЯ</t>
  </si>
  <si>
    <t>012697</t>
  </si>
  <si>
    <t>ЩЕБЕНЬ ИЗ ПРИРОДНОГО КАМНЯ ДЛЯ СТРОИТЕЛЬНЫХ РАБОТ МАРКА 400, ФРАКЦИЯ, ММ: 10-20</t>
  </si>
  <si>
    <t>022010</t>
  </si>
  <si>
    <t>БЕТОН ТЯЖЕЛЫЙ, КЛАСС В 27,5 (М350)</t>
  </si>
  <si>
    <t>022473</t>
  </si>
  <si>
    <t>РАСТВОР ГОТОВЫЙ ОТДЕЛОЧНЫЙ ТЯЖЕЛЫЙ, ЦЕМЕНТНЫЙ: 1:3</t>
  </si>
  <si>
    <t>041398</t>
  </si>
  <si>
    <t>ПЕСЧАНО-ГРАВИЙНАЯ СМЕСЬ ИЛИ ЩЕБЕНОЧНО-ПЕСЧАНАЯ СМЕСЬ ОПТИМАЛЬНОГО ГРАНУЛОМЕТРИЧЕСКОГО СОСТАВА</t>
  </si>
  <si>
    <t>043113</t>
  </si>
  <si>
    <t>ЩЕБЕНЬ</t>
  </si>
  <si>
    <t>УЗПОУ-ГА17</t>
  </si>
  <si>
    <t>КАБЕЛЬ УНИВЕРСАЛЬНЫЙ ИНСТРУМЕНТАЛЬНЫЙ:- С ИЗОЛЯЦИЕЙ И ОБОЛОЧКОЙ ИЗ ПВХ-ПЛАСТИКАТА ПОНИЖЕННОЙ ГОРЮЧЕСТИ, НЕ РАСПРОСТРАНЯЮЩИЙ ГОРЕНИЕ ПРИ ГРУППОВОЙ ПРОКЛАДКЕ ПО КАТЕГОРИИ А;- С МЕДНЫМИ ЖИЛАМИ; ОБЩИЙ ЭКРАН ВЫПОЛНЕН ИЗ АЛЮМОФОЛЬГИРОВАННОЙ ПЛЕНКИ (АЛЮМОФЛЕКС);- БРОНЯ ПОД НАРУЖНОЙ ОБОЛОЧКОЙ В ВИДЕ СПЛОШНОГО ПОВИВА ИЗ ОЦИНКОВАННЫХ ПРОВОЛОК ПОД НАРУЖНОЙ ОБОЛОЧКОЙ; УСТОЙЧИВОСТЬ К УЛЬТРАФИОЛЕТУ В ТЕЧЕНИИ ВСЕГО СРОКА СЛУЖБЫ; СООТВЕТСТВИЕ ОБЩИМ ТРЕБОВАНИЯМ ГОСТ Р МЭК 60079-14-2008 К КАБЕЛЯМ ЭЛЕКТРОПРОВОДОК ВО ВЗРЫВООПАСНЫХ ЗОНАХ; КАБЕЛЬ С КРУГЛЫМ ПОПЕРЕЧНЫМ СЕЧЕНИЕМ И ЭКСТРУДИРОВАННОЙ ПОДЛОЖКОЙ (ЗАПОЛНЕНИЕМ). ПРЕПЯДСТВУЮЩИЙ СВОБОДНОМУ ПРОТЕКАНИЮ ВЗРЫВООПАСНОГО ГАЗА ЧЕРЕЗ КАБЕЛЬ; ТЕМПЕРАТУРА ЭКСПЛУАТАЦИИ ОТ -50°C ДО +70°C КУИН НГ(А) ВЭК-УФ 1Х2Х1,0</t>
  </si>
  <si>
    <t>1000М</t>
  </si>
  <si>
    <t>УЗПОУ-ГА18</t>
  </si>
  <si>
    <t>КАБЕЛЬ УНИВЕРСАЛЬНЫЙ ИНСТРУМЕНТАЛЬНЫЙ:- С ИЗОЛЯЦИЕЙ И ОБОЛОЧКОЙ ИЗ ПВХ-ПЛАСТИКАТА ПОНИЖЕННОЙ ГОРЮЧЕСТИ, НЕ РАСПРОСТРАНЯЮЩИЙ ГОРЕНИЕ ПРИ ГРУППОВОЙ ПРОКЛАДКЕ ПО КАТЕГОРИИ А;-С МЕДНЫМИ ЖИЛАМИ; ОБЩИЙ ЭКРАН ВЫПОЛНЕН ИЗ АЛЮМОФОЛЬГИРОВАННОЙ ПЛЕНКИ (АЛЮМОФЛЕКС);-БРОНЯ ПОД НАРУЖНОЙ ОБОЛОЧКОЙ В ВИДЕ СПЛОШНОГО ПОВИВА ИЗ ОЦИНКОВАННЫХ ПРОВОЛОК ПОД НАРУЖНОЙ ОБОЛОЧКОЙ; УСТОЙЧИВОСТЬ К УЛЬТРАФИОЛЕТУ В ТЕЧЕНИИ ВСЕГО СРОКА СЛУЖБЫ; СООТВЕТСТВИЕ ОБЩИМ ТРЕБОВАНИЯМ ГОСТ Р МЭК 60079-14-2008 К КАБЕЛЯМ ЭЛЕКТРОПРОВОДОК ВО ВЗРЫВООПАСНЫХ ЗОНАХ; КАБЕЛЬ С КРУГЛЫМ ПОПЕРЕЧНЫМ СЕЧЕНИЕМ И ЭКСТРУДИРОВАННОЙ ПОДЛОЖКОЙ (ЗАПОЛНЕНИЕМ). ПРЕПЯДСТВУЮЩИЙ СВОБОДНОМУ ПРОТЕКАНИЮ ВЗРЫВООПАСНОГО ГАЗА ЧЕРЕЗ КАБЕЛЬ; ТЕМПЕРАТУРА ЭКСПЛУАТАЦИИ ОТ -50°C ДО +70°C КУИН НГ(А) ВЭК-УФ 8Х2,5</t>
  </si>
  <si>
    <t>УЗПОУ-ГА19</t>
  </si>
  <si>
    <t>КАБЕЛЬ УНИВЕРСАЛЬНЫЙ ИНСТРУМЕНТАЛЬНЫЙ:- С ИЗОЛЯЦИЕЙ И ОБОЛОЧКОЙ ИЗ ПВХ-ПЛАСТИКАТА ПОНИЖЕННОЙ ГОРЮЧЕСТИ, НЕ РАСПРОСТРАНЯЮЩИЙ ГОРЕНИЕ ПРИ ГРУППОВОЙ ПРОКЛАДКЕ ПО КАТЕГОРИИ А;-С МЕДНЫМИ ЖИЛАМИ; ОБЩИЙ ЭКРАН ВЫПОЛНЕН ИЗ АЛЮМОФОЛЬГИРОВАННОЙ ПЛЕНКИ (АЛЮМОФЛЕКС);-БРОНЯ ПОД НАРУЖНОЙ ОБОЛОЧКОЙ В ВИДЕ СПЛОШНОГО ПОВИВА ИЗ ОЦИНКОВАННЫХ ПРОВОЛОК ПОД НАРУЖНОЙ ОБОЛОЧКОЙ; УСТОЙЧИВОСТЬ К УЛЬТРАФИОЛЕТУ В ТЕЧЕНИИ ВСЕГО СРОКА СЛУЖБЫ; СООТВЕТСТВИЕ ОБЩИМ ТРЕБОВАНИЯМ ГОСТ Р МЭК 60079-14-2008 К КАБЕЛЯМ ЭЛЕКТРОПРОВОДОК ВО ВЗРЫВООПАСНЫХ ЗОНАХ; КАБЕЛЬ С КРУГЛЫМ ПОПЕРЕЧНЫМ СЕЧЕНИЕМ И ЭКСТРУДИРОВАННОЙ ПОДЛОЖКОЙ (ЗАПОЛНЕНИЕМ). ПРЕПЯДСТВУЮЩИЙ СВОБОДНОМУ ПРОТЕКАНИЮ ВЗРЫВООПАСНОГО ГАЗА ЧЕРЕЗ КАБЕЛЬ; ТЕМПЕРАТУРА ЭКСПЛУАТАЦИИ ОТ -50°C ДО +70°C"КУИН НГ(А) ВЭК-УФ 5Х2,5</t>
  </si>
  <si>
    <t>УЗПОУ-ГА20</t>
  </si>
  <si>
    <t>ПРОВОД ПВ3 - 1Х6 ГОСТ 6323-79 (ДЛЯ ЗАЗЕМЛЕНИЯ)</t>
  </si>
  <si>
    <t>УЗПОУ-ГА10</t>
  </si>
  <si>
    <t>ИНДИКАТОР ДАВЛЕНИЯ (МАНОМЕТР) ОПРОСНОЙ ЛИСТ EWE0426-MGL1-SYS-054-DSH-610201</t>
  </si>
  <si>
    <t>УЗПОУ-ГА11</t>
  </si>
  <si>
    <t>ПРЕОБРАЗОВАТЕЛЬ ДАВЛЕНИЯ ОПРОСНОЙ ЛИСТ EWE0426-MGL1-SYS-054-DSH-610202</t>
  </si>
  <si>
    <t>УЗПОУ-ГА12</t>
  </si>
  <si>
    <t>ДАТЧИК ТЕМПЕРАТУРЫ НАКЛАДНОЙ ОПРОСНОЙ ЛИСТ EWE0426-MGL1-SYS-054-DSH-610203</t>
  </si>
  <si>
    <t>УЗПОУ-ГА13</t>
  </si>
  <si>
    <t>СИГНАЛИЗАТОРЫ ПРОХОЖДЕНИЯ ОЧИСТНОГО УСТРОЙСТВА ОПРОСНОЙ ЛИСТ EWE0426-MGL1-SYS-054-DSH-610204</t>
  </si>
  <si>
    <t>УЗПОУ-ГА14</t>
  </si>
  <si>
    <t>ИНДИКАТОР ТЕМПЕРАТУРЫ (ТЕРМОМЕТР) ОПРОСНОЙ ЛИСТ EWE0426-MGL1-SYS-054-DSH-610205</t>
  </si>
  <si>
    <t>УЗПОУ-ГА15</t>
  </si>
  <si>
    <t>СИГНАЛИЗАТОР УРОВНЯ ФЛАНЦЕВЫЙ ОПРОСНОЙ ЛИСТ EWE0426-MGL1-SYS-054-DSH-610206</t>
  </si>
  <si>
    <t>УЗПОУ-ГА16</t>
  </si>
  <si>
    <t>ШКАФ ТЕЛЕМЕХАНИКИ ОПРОСНОЙ ЛИСТ EWE0426-MGL1-SYS-054-DSH-610207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</si>
</sst>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Times New Roman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sz val="11"/>
      <color rgb="FF9C57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8"/>
      <color rgb="FF0000FF"/>
      <name val="Arial"/>
      <family val="2"/>
      <charset val="204"/>
    </font>
    <font>
      <i/>
      <sz val="8"/>
      <color rgb="FFFF0000"/>
      <name val="Arial"/>
      <family val="2"/>
      <charset val="204"/>
    </font>
    <font>
      <i/>
      <sz val="8"/>
      <name val="Arial"/>
      <family val="2"/>
      <charset val="204"/>
    </font>
    <font>
      <sz val="10"/>
      <name val="Times New Roman"/>
      <charset val="204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1" applyNumberFormat="0" applyAlignment="0" applyProtection="0"/>
    <xf numFmtId="0" fontId="8" fillId="27" borderId="2" applyNumberFormat="0" applyAlignment="0" applyProtection="0"/>
    <xf numFmtId="0" fontId="9" fillId="27" borderId="1" applyNumberFormat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28" borderId="7" applyNumberFormat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3" fillId="0" borderId="0"/>
    <xf numFmtId="0" fontId="17" fillId="30" borderId="0" applyNumberFormat="0" applyBorder="0" applyAlignment="0" applyProtection="0"/>
    <xf numFmtId="0" fontId="18" fillId="0" borderId="0" applyNumberFormat="0" applyFill="0" applyBorder="0" applyAlignment="0" applyProtection="0"/>
    <xf numFmtId="0" fontId="5" fillId="31" borderId="8" applyNumberFormat="0" applyFont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32" borderId="0" applyNumberFormat="0" applyBorder="0" applyAlignment="0" applyProtection="0"/>
    <xf numFmtId="0" fontId="27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2" fillId="0" borderId="10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top" wrapText="1"/>
    </xf>
    <xf numFmtId="0" fontId="24" fillId="34" borderId="11" xfId="0" applyFont="1" applyFill="1" applyBorder="1" applyAlignment="1">
      <alignment horizontal="center" vertical="top"/>
    </xf>
    <xf numFmtId="0" fontId="24" fillId="34" borderId="11" xfId="0" applyFont="1" applyFill="1" applyBorder="1" applyAlignment="1">
      <alignment horizontal="left" vertical="top" wrapText="1"/>
    </xf>
    <xf numFmtId="4" fontId="24" fillId="34" borderId="11" xfId="0" applyNumberFormat="1" applyFont="1" applyFill="1" applyBorder="1" applyAlignment="1">
      <alignment horizontal="right" vertical="top"/>
    </xf>
    <xf numFmtId="3" fontId="24" fillId="34" borderId="11" xfId="0" applyNumberFormat="1" applyFont="1" applyFill="1" applyBorder="1" applyAlignment="1">
      <alignment horizontal="right" vertical="top"/>
    </xf>
    <xf numFmtId="0" fontId="24" fillId="33" borderId="11" xfId="0" applyFont="1" applyFill="1" applyBorder="1" applyAlignment="1">
      <alignment horizontal="center" vertical="top"/>
    </xf>
    <xf numFmtId="0" fontId="24" fillId="33" borderId="11" xfId="0" applyFont="1" applyFill="1" applyBorder="1" applyAlignment="1">
      <alignment horizontal="left" vertical="top" wrapText="1"/>
    </xf>
    <xf numFmtId="4" fontId="24" fillId="33" borderId="11" xfId="0" applyNumberFormat="1" applyFont="1" applyFill="1" applyBorder="1" applyAlignment="1">
      <alignment horizontal="right" vertical="top"/>
    </xf>
    <xf numFmtId="0" fontId="24" fillId="34" borderId="11" xfId="0" applyFont="1" applyFill="1" applyBorder="1" applyAlignment="1">
      <alignment horizontal="left" vertical="top"/>
    </xf>
    <xf numFmtId="0" fontId="25" fillId="34" borderId="11" xfId="0" applyFont="1" applyFill="1" applyBorder="1" applyAlignment="1">
      <alignment horizontal="left" vertical="top" wrapText="1"/>
    </xf>
    <xf numFmtId="0" fontId="25" fillId="33" borderId="11" xfId="0" applyFont="1" applyFill="1" applyBorder="1" applyAlignment="1">
      <alignment horizontal="left" vertical="top" wrapText="1"/>
    </xf>
    <xf numFmtId="0" fontId="26" fillId="34" borderId="11" xfId="0" applyFont="1" applyFill="1" applyBorder="1" applyAlignment="1">
      <alignment horizontal="left" vertical="top" wrapText="1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 xr:uid="{7ACBA9B6-AC5D-47C9-91DA-09F7FC43735E}"/>
    <cellStyle name="Обычный 3" xfId="43" xr:uid="{8A13C9E3-1404-4893-86EE-DEF0BF154DD2}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ownloads\Telegram%20Desktop\&#1057;&#1042;&#1054;&#1044;&#1053;&#1040;&#1071;_&#1057;&#1052;&#1045;&#1058;&#1040;_&#1056;&#1044;_&#171;&#1057;&#1058;&#1056;&#1054;&#1048;&#1058;&#1045;&#1051;&#1068;&#1057;&#1058;&#1042;&#1054;_&#1053;&#1054;&#1042;&#1067;&#1061;_&#1053;&#1048;&#1058;&#1054;&#1050;_&#1059;&#1063;&#1040;&#1057;&#1058;&#1050;&#1054;&#1042;_&#1043;&#1040;&#1047;&#1054;&#1055;&#1056;&#1054;&#1042;&#1054;&#1044;&#1040;%20(2).xls" TargetMode="External"/><Relationship Id="rId1" Type="http://schemas.openxmlformats.org/officeDocument/2006/relationships/externalLinkPath" Target="/Users/Acer/Downloads/Telegram%20Desktop/&#1057;&#1042;&#1054;&#1044;&#1053;&#1040;&#1071;_&#1057;&#1052;&#1045;&#1058;&#1040;_&#1056;&#1044;_&#171;&#1057;&#1058;&#1056;&#1054;&#1048;&#1058;&#1045;&#1051;&#1068;&#1057;&#1058;&#1042;&#1054;_&#1053;&#1054;&#1042;&#1067;&#1061;_&#1053;&#1048;&#1058;&#1054;&#1050;_&#1059;&#1063;&#1040;&#1057;&#1058;&#1050;&#1054;&#1042;_&#1043;&#1040;&#1047;&#1054;&#1055;&#1056;&#1054;&#1042;&#1054;&#1044;&#1040;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"/>
      <sheetName val="LRV"/>
    </sheetNames>
    <sheetDataSet>
      <sheetData sheetId="0">
        <row r="118">
          <cell r="D118" t="str">
            <v>АРМАТУРА ДЛЯ МОНОЛИТНЫХ ЖЕЛЕЗОБЕТОННЫХ КОНСТРУКЦИЙ В ВИДЕ СЕТОК И ПЛОСКИХ КАРКАСОВ, ПЕРИОДИЧЕСКОГО ПРОФИЛЯ КЛАССА АIII, ДИАМЕТРОМ 14 ММ</v>
          </cell>
          <cell r="G118">
            <v>9400000</v>
          </cell>
        </row>
        <row r="119">
          <cell r="D119" t="str">
            <v>ВОДА</v>
          </cell>
          <cell r="G119">
            <v>3800</v>
          </cell>
        </row>
        <row r="120">
          <cell r="D120" t="str">
            <v>ВОДА</v>
          </cell>
          <cell r="G120">
            <v>3800</v>
          </cell>
        </row>
        <row r="121">
          <cell r="D121" t="str">
            <v>АСБЕСТОВЫЙ ШНУР ОБЩЕГО НАЗНАЧЕНИЯ (ШАОН-1), ДИАМЕТРОМ 3,0-5,0 ММ</v>
          </cell>
          <cell r="G121">
            <v>85000000</v>
          </cell>
        </row>
        <row r="122">
          <cell r="D122" t="str">
            <v>БУМАГА ОБЕРТОЧНАЯ ЛИСТОВАЯ</v>
          </cell>
          <cell r="G122">
            <v>1400000</v>
          </cell>
        </row>
        <row r="123">
          <cell r="D123" t="str">
            <v>ГВОЗДИ СТРОИТЕЛЬНЫЕ</v>
          </cell>
          <cell r="G123">
            <v>11160714.289999999</v>
          </cell>
        </row>
        <row r="124">
          <cell r="D124" t="str">
            <v>ДЮБЕЛИ РАСПОРНЫЕ</v>
          </cell>
          <cell r="G124">
            <v>150000</v>
          </cell>
        </row>
        <row r="125">
          <cell r="D125" t="str">
            <v>ДЮБЕЛИ ДЛЯ ПРИСТРЕЛКИ</v>
          </cell>
          <cell r="G125">
            <v>15000</v>
          </cell>
        </row>
        <row r="126">
          <cell r="D126" t="str">
            <v>БОЛТЫ СТРОИТЕЛЬНЫЕ С ГАЙКАМИ И ШАЙБАМИ</v>
          </cell>
          <cell r="G126">
            <v>14740</v>
          </cell>
        </row>
        <row r="127">
          <cell r="D127" t="str">
            <v>ИЗВЕСТЬ СТРОИТЕЛЬНАЯ НЕГАШЕНАЯ КОМОВАЯ, СОРТ 1</v>
          </cell>
          <cell r="G127">
            <v>650000</v>
          </cell>
        </row>
        <row r="128">
          <cell r="D128" t="str">
            <v>КРАСКА</v>
          </cell>
          <cell r="G128">
            <v>39500</v>
          </cell>
        </row>
        <row r="129">
          <cell r="D129" t="str">
            <v>ДЮБЕЛИ ПЛАСТМАССОВЫЕ, ДИАМЕТР 14 ММ</v>
          </cell>
          <cell r="G129">
            <v>40000</v>
          </cell>
        </row>
        <row r="130">
          <cell r="D130" t="str">
            <v>БИРКИ МАРКИРОВОЧНЫЕ ПЛАСТМАССОВЫЕ</v>
          </cell>
          <cell r="G130">
            <v>45000</v>
          </cell>
        </row>
        <row r="131">
          <cell r="D131" t="str">
            <v>ЛАК БИТУМНЫЙ БТ-123</v>
          </cell>
          <cell r="G131">
            <v>69800000</v>
          </cell>
        </row>
        <row r="132">
          <cell r="D132" t="str">
            <v>ГРУНТОВКА ГФ-021 КРАСНО-КОРИЧНЕВАЯ</v>
          </cell>
          <cell r="G132">
            <v>18482000</v>
          </cell>
        </row>
        <row r="133">
          <cell r="D133" t="str">
            <v>ГРУНТОВКА</v>
          </cell>
          <cell r="G133">
            <v>59852000</v>
          </cell>
        </row>
        <row r="134">
          <cell r="D134" t="str">
            <v>ГРУНТОВКА БИТУМНАЯ</v>
          </cell>
          <cell r="G134">
            <v>59852000</v>
          </cell>
        </row>
        <row r="135">
          <cell r="D135" t="str">
            <v>КРАСКИ ПЕРХЛОРВИНИЛОВЫЕ</v>
          </cell>
          <cell r="G135">
            <v>15200000</v>
          </cell>
        </row>
        <row r="136">
          <cell r="D136" t="str">
            <v>РАСТВОРИТЕЛИ ДЛЯ ЛАКОКРАСОЧНЫХ МАТЕРИАЛОВ Р-4</v>
          </cell>
          <cell r="G136">
            <v>115600000</v>
          </cell>
        </row>
        <row r="137">
          <cell r="D137" t="str">
            <v>СТЕАРИН</v>
          </cell>
          <cell r="G137">
            <v>47000</v>
          </cell>
        </row>
        <row r="138">
          <cell r="D138" t="str">
            <v>ПАРАФИН НЕФТЯНОЙ ТВЕРДЫЙ П-3</v>
          </cell>
          <cell r="G138">
            <v>35000000</v>
          </cell>
        </row>
        <row r="139">
          <cell r="D139" t="str">
            <v>КЛЕЙ БМК5</v>
          </cell>
          <cell r="G139">
            <v>0</v>
          </cell>
        </row>
        <row r="140">
          <cell r="D140" t="str">
            <v>ЭМАЛЬ ЭП-140 ЗАЩИТНАЯ</v>
          </cell>
          <cell r="G140">
            <v>0</v>
          </cell>
        </row>
        <row r="141">
          <cell r="D141" t="str">
            <v>ЭМАЛЬ ХВ-124 ЗАЩИТНАЯ, ЗЕЛЕНАЯ</v>
          </cell>
          <cell r="G141">
            <v>108000000</v>
          </cell>
        </row>
        <row r="142">
          <cell r="D142" t="str">
            <v>ХОЛСТ СТЕКЛЯННЫЙ ВВГ</v>
          </cell>
          <cell r="G142">
            <v>8212216.7999999998</v>
          </cell>
        </row>
        <row r="143">
          <cell r="D143" t="str">
            <v>МАСТИКА БИТУМНО-ПОЛИМЕРНАЯ</v>
          </cell>
          <cell r="G143">
            <v>21303475.199999999</v>
          </cell>
        </row>
        <row r="144">
          <cell r="D144" t="str">
            <v>ПРОВОЛОКА СВАРОЧНАЯ ЛЕГИРОВАННАЯ ДИАМЕТРОМ 4 ММ</v>
          </cell>
          <cell r="G144">
            <v>0</v>
          </cell>
        </row>
        <row r="145">
          <cell r="D145" t="str">
            <v>ПРОВОЛОКА СТАЛЬНАЯ НИЗКОУГЛЕРОДИСТАЯ РАЗНОГО НАЗНАЧЕНИЯ ОЦИНКОВАННАЯ ДИАМЕТРОМ 3,0 ММ</v>
          </cell>
          <cell r="G145">
            <v>0</v>
          </cell>
        </row>
        <row r="146">
          <cell r="D146" t="str">
            <v>СТАЛЬ ПОЛОСОВАЯ СПОКОЙНАЯ МАРКИ СТ3СП, ШИРИНОЙ 50-200 ММ ТОЛЩИНОЙ 4-5 ММ</v>
          </cell>
          <cell r="G146">
            <v>0</v>
          </cell>
        </row>
        <row r="147">
          <cell r="D147" t="str">
            <v>УАЙТ-СПИРИТ</v>
          </cell>
          <cell r="G147">
            <v>36656000</v>
          </cell>
        </row>
        <row r="148">
          <cell r="D148" t="str">
            <v>ЭЛЕКТРОДЫ ДИАМЕТРОМ 4 ММ Э42</v>
          </cell>
          <cell r="G148">
            <v>26562000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29D2-0F6F-4780-9B5F-D816E653E678}">
  <dimension ref="A2:F135"/>
  <sheetViews>
    <sheetView showGridLines="0" tabSelected="1" zoomScale="130" zoomScaleNormal="130" workbookViewId="0">
      <selection activeCell="D120" sqref="D120"/>
    </sheetView>
  </sheetViews>
  <sheetFormatPr defaultColWidth="9.33203125" defaultRowHeight="13.2" x14ac:dyDescent="0.25"/>
  <cols>
    <col min="1" max="1" width="6.109375" style="1" customWidth="1"/>
    <col min="2" max="2" width="9" style="1" customWidth="1"/>
    <col min="3" max="3" width="12" style="1" customWidth="1"/>
    <col min="4" max="4" width="59.77734375" style="1" customWidth="1"/>
    <col min="5" max="5" width="9.6640625" style="1" customWidth="1"/>
    <col min="6" max="6" width="14.33203125" style="1" customWidth="1"/>
    <col min="7" max="16384" width="9.33203125" style="1"/>
  </cols>
  <sheetData>
    <row r="2" spans="1:6" s="2" customFormat="1" ht="25.5" customHeight="1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x14ac:dyDescent="0.25">
      <c r="A3" s="6">
        <v>1</v>
      </c>
      <c r="B3" s="7">
        <v>2</v>
      </c>
      <c r="C3" s="7">
        <v>3</v>
      </c>
      <c r="D3" s="7">
        <v>4</v>
      </c>
      <c r="E3" s="7">
        <v>5</v>
      </c>
      <c r="F3" s="7">
        <v>7</v>
      </c>
    </row>
    <row r="4" spans="1:6" x14ac:dyDescent="0.25">
      <c r="A4" s="8" t="s">
        <v>6</v>
      </c>
      <c r="B4" s="8"/>
      <c r="C4" s="8" t="s">
        <v>61</v>
      </c>
      <c r="D4" s="9" t="s">
        <v>62</v>
      </c>
      <c r="E4" s="8" t="s">
        <v>63</v>
      </c>
      <c r="F4" s="10">
        <v>12000000</v>
      </c>
    </row>
    <row r="5" spans="1:6" ht="56.25" customHeight="1" x14ac:dyDescent="0.25">
      <c r="A5" s="12" t="s">
        <v>7</v>
      </c>
      <c r="B5" s="12"/>
      <c r="C5" s="12" t="s">
        <v>64</v>
      </c>
      <c r="D5" s="13" t="s">
        <v>65</v>
      </c>
      <c r="E5" s="12" t="s">
        <v>63</v>
      </c>
      <c r="F5" s="14">
        <v>1250000</v>
      </c>
    </row>
    <row r="6" spans="1:6" ht="56.25" customHeight="1" x14ac:dyDescent="0.25">
      <c r="A6" s="12" t="s">
        <v>8</v>
      </c>
      <c r="B6" s="12"/>
      <c r="C6" s="12" t="s">
        <v>66</v>
      </c>
      <c r="D6" s="13" t="s">
        <v>67</v>
      </c>
      <c r="E6" s="12" t="s">
        <v>63</v>
      </c>
      <c r="F6" s="14">
        <v>1150000</v>
      </c>
    </row>
    <row r="7" spans="1:6" x14ac:dyDescent="0.25">
      <c r="A7" s="8" t="s">
        <v>9</v>
      </c>
      <c r="B7" s="8"/>
      <c r="C7" s="8" t="s">
        <v>68</v>
      </c>
      <c r="D7" s="9" t="s">
        <v>69</v>
      </c>
      <c r="E7" s="8" t="s">
        <v>70</v>
      </c>
      <c r="F7" s="10">
        <v>1200000</v>
      </c>
    </row>
    <row r="8" spans="1:6" ht="30.6" x14ac:dyDescent="0.25">
      <c r="A8" s="12" t="s">
        <v>10</v>
      </c>
      <c r="B8" s="12"/>
      <c r="C8" s="12" t="s">
        <v>71</v>
      </c>
      <c r="D8" s="13" t="s">
        <v>72</v>
      </c>
      <c r="E8" s="12" t="s">
        <v>63</v>
      </c>
      <c r="F8" s="14">
        <v>2300000</v>
      </c>
    </row>
    <row r="9" spans="1:6" ht="20.399999999999999" x14ac:dyDescent="0.25">
      <c r="A9" s="12" t="s">
        <v>11</v>
      </c>
      <c r="B9" s="12"/>
      <c r="C9" s="12" t="s">
        <v>73</v>
      </c>
      <c r="D9" s="13" t="s">
        <v>74</v>
      </c>
      <c r="E9" s="12" t="s">
        <v>63</v>
      </c>
      <c r="F9" s="14">
        <v>1950000</v>
      </c>
    </row>
    <row r="10" spans="1:6" x14ac:dyDescent="0.25">
      <c r="A10" s="12" t="s">
        <v>12</v>
      </c>
      <c r="B10" s="12"/>
      <c r="C10" s="12" t="s">
        <v>75</v>
      </c>
      <c r="D10" s="13" t="s">
        <v>76</v>
      </c>
      <c r="E10" s="12" t="s">
        <v>63</v>
      </c>
      <c r="F10" s="14">
        <v>3400000</v>
      </c>
    </row>
    <row r="11" spans="1:6" ht="67.5" customHeight="1" x14ac:dyDescent="0.25">
      <c r="A11" s="12" t="s">
        <v>13</v>
      </c>
      <c r="B11" s="12"/>
      <c r="C11" s="12" t="s">
        <v>77</v>
      </c>
      <c r="D11" s="13" t="s">
        <v>78</v>
      </c>
      <c r="E11" s="12" t="s">
        <v>70</v>
      </c>
      <c r="F11" s="14">
        <v>45000</v>
      </c>
    </row>
    <row r="12" spans="1:6" ht="20.399999999999999" x14ac:dyDescent="0.25">
      <c r="A12" s="12" t="s">
        <v>14</v>
      </c>
      <c r="B12" s="12"/>
      <c r="C12" s="12" t="s">
        <v>79</v>
      </c>
      <c r="D12" s="13" t="s">
        <v>80</v>
      </c>
      <c r="E12" s="12" t="s">
        <v>70</v>
      </c>
      <c r="F12" s="14">
        <v>65000</v>
      </c>
    </row>
    <row r="13" spans="1:6" x14ac:dyDescent="0.25">
      <c r="A13" s="12" t="s">
        <v>15</v>
      </c>
      <c r="B13" s="12"/>
      <c r="C13" s="12" t="s">
        <v>81</v>
      </c>
      <c r="D13" s="13" t="s">
        <v>82</v>
      </c>
      <c r="E13" s="12" t="s">
        <v>63</v>
      </c>
      <c r="F13" s="14">
        <v>28000</v>
      </c>
    </row>
    <row r="14" spans="1:6" x14ac:dyDescent="0.25">
      <c r="A14" s="12" t="s">
        <v>16</v>
      </c>
      <c r="B14" s="12"/>
      <c r="C14" s="12" t="s">
        <v>83</v>
      </c>
      <c r="D14" s="13" t="s">
        <v>84</v>
      </c>
      <c r="E14" s="12" t="s">
        <v>63</v>
      </c>
      <c r="F14" s="14">
        <v>15000</v>
      </c>
    </row>
    <row r="15" spans="1:6" ht="20.399999999999999" x14ac:dyDescent="0.25">
      <c r="A15" s="12" t="s">
        <v>17</v>
      </c>
      <c r="B15" s="12"/>
      <c r="C15" s="12" t="s">
        <v>85</v>
      </c>
      <c r="D15" s="13" t="s">
        <v>86</v>
      </c>
      <c r="E15" s="12" t="s">
        <v>63</v>
      </c>
      <c r="F15" s="14">
        <v>600</v>
      </c>
    </row>
    <row r="16" spans="1:6" ht="20.399999999999999" x14ac:dyDescent="0.25">
      <c r="A16" s="12" t="s">
        <v>18</v>
      </c>
      <c r="B16" s="12"/>
      <c r="C16" s="12" t="s">
        <v>87</v>
      </c>
      <c r="D16" s="13" t="s">
        <v>88</v>
      </c>
      <c r="E16" s="12" t="s">
        <v>63</v>
      </c>
      <c r="F16" s="14">
        <v>800</v>
      </c>
    </row>
    <row r="17" spans="1:6" ht="20.399999999999999" x14ac:dyDescent="0.25">
      <c r="A17" s="12" t="s">
        <v>19</v>
      </c>
      <c r="B17" s="12"/>
      <c r="C17" s="12" t="s">
        <v>89</v>
      </c>
      <c r="D17" s="13" t="s">
        <v>90</v>
      </c>
      <c r="E17" s="12" t="s">
        <v>63</v>
      </c>
      <c r="F17" s="14">
        <v>12000</v>
      </c>
    </row>
    <row r="18" spans="1:6" x14ac:dyDescent="0.25">
      <c r="A18" s="12" t="s">
        <v>20</v>
      </c>
      <c r="B18" s="12"/>
      <c r="C18" s="12" t="s">
        <v>91</v>
      </c>
      <c r="D18" s="13" t="s">
        <v>92</v>
      </c>
      <c r="E18" s="12" t="s">
        <v>63</v>
      </c>
      <c r="F18" s="14">
        <v>180000</v>
      </c>
    </row>
    <row r="19" spans="1:6" x14ac:dyDescent="0.25">
      <c r="A19" s="12" t="s">
        <v>21</v>
      </c>
      <c r="B19" s="12"/>
      <c r="C19" s="12" t="s">
        <v>93</v>
      </c>
      <c r="D19" s="13" t="s">
        <v>94</v>
      </c>
      <c r="E19" s="12" t="s">
        <v>63</v>
      </c>
      <c r="F19" s="14">
        <v>95000</v>
      </c>
    </row>
    <row r="20" spans="1:6" x14ac:dyDescent="0.25">
      <c r="A20" s="12" t="s">
        <v>22</v>
      </c>
      <c r="B20" s="12"/>
      <c r="C20" s="12" t="s">
        <v>95</v>
      </c>
      <c r="D20" s="13" t="s">
        <v>96</v>
      </c>
      <c r="E20" s="12" t="s">
        <v>70</v>
      </c>
      <c r="F20" s="14">
        <v>240000</v>
      </c>
    </row>
    <row r="21" spans="1:6" ht="20.399999999999999" x14ac:dyDescent="0.25">
      <c r="A21" s="12" t="s">
        <v>23</v>
      </c>
      <c r="B21" s="12"/>
      <c r="C21" s="12" t="s">
        <v>97</v>
      </c>
      <c r="D21" s="13" t="s">
        <v>98</v>
      </c>
      <c r="E21" s="12" t="s">
        <v>63</v>
      </c>
      <c r="F21" s="14">
        <v>320000</v>
      </c>
    </row>
    <row r="22" spans="1:6" ht="22.5" customHeight="1" x14ac:dyDescent="0.25">
      <c r="A22" s="8" t="s">
        <v>24</v>
      </c>
      <c r="B22" s="8"/>
      <c r="C22" s="8" t="s">
        <v>99</v>
      </c>
      <c r="D22" s="9" t="s">
        <v>100</v>
      </c>
      <c r="E22" s="8" t="s">
        <v>70</v>
      </c>
      <c r="F22" s="10">
        <v>134400</v>
      </c>
    </row>
    <row r="23" spans="1:6" x14ac:dyDescent="0.25">
      <c r="A23" s="12" t="s">
        <v>25</v>
      </c>
      <c r="B23" s="12"/>
      <c r="C23" s="12" t="s">
        <v>101</v>
      </c>
      <c r="D23" s="13" t="s">
        <v>102</v>
      </c>
      <c r="E23" s="12" t="s">
        <v>63</v>
      </c>
      <c r="F23" s="14">
        <v>65000</v>
      </c>
    </row>
    <row r="24" spans="1:6" x14ac:dyDescent="0.25">
      <c r="A24" s="12" t="s">
        <v>26</v>
      </c>
      <c r="B24" s="12"/>
      <c r="C24" s="12" t="s">
        <v>103</v>
      </c>
      <c r="D24" s="13" t="s">
        <v>104</v>
      </c>
      <c r="E24" s="12" t="s">
        <v>70</v>
      </c>
      <c r="F24" s="14">
        <v>2500</v>
      </c>
    </row>
    <row r="25" spans="1:6" x14ac:dyDescent="0.25">
      <c r="A25" s="12" t="s">
        <v>27</v>
      </c>
      <c r="B25" s="12"/>
      <c r="C25" s="12" t="s">
        <v>105</v>
      </c>
      <c r="D25" s="13" t="s">
        <v>106</v>
      </c>
      <c r="E25" s="12" t="s">
        <v>70</v>
      </c>
      <c r="F25" s="14">
        <v>5800</v>
      </c>
    </row>
    <row r="26" spans="1:6" x14ac:dyDescent="0.25">
      <c r="A26" s="12" t="s">
        <v>28</v>
      </c>
      <c r="B26" s="12"/>
      <c r="C26" s="12" t="s">
        <v>107</v>
      </c>
      <c r="D26" s="13" t="s">
        <v>108</v>
      </c>
      <c r="E26" s="12" t="s">
        <v>70</v>
      </c>
      <c r="F26" s="14">
        <v>8500</v>
      </c>
    </row>
    <row r="27" spans="1:6" x14ac:dyDescent="0.25">
      <c r="A27" s="12" t="s">
        <v>29</v>
      </c>
      <c r="B27" s="12"/>
      <c r="C27" s="12" t="s">
        <v>109</v>
      </c>
      <c r="D27" s="13" t="s">
        <v>110</v>
      </c>
      <c r="E27" s="12" t="s">
        <v>70</v>
      </c>
      <c r="F27" s="14">
        <v>85000</v>
      </c>
    </row>
    <row r="28" spans="1:6" x14ac:dyDescent="0.25">
      <c r="A28" s="12" t="s">
        <v>30</v>
      </c>
      <c r="B28" s="12"/>
      <c r="C28" s="12" t="s">
        <v>111</v>
      </c>
      <c r="D28" s="13" t="s">
        <v>112</v>
      </c>
      <c r="E28" s="12" t="s">
        <v>63</v>
      </c>
      <c r="F28" s="14">
        <v>140000</v>
      </c>
    </row>
    <row r="29" spans="1:6" x14ac:dyDescent="0.25">
      <c r="A29" s="12" t="s">
        <v>31</v>
      </c>
      <c r="B29" s="12"/>
      <c r="C29" s="12" t="s">
        <v>113</v>
      </c>
      <c r="D29" s="13" t="s">
        <v>114</v>
      </c>
      <c r="E29" s="12" t="s">
        <v>63</v>
      </c>
      <c r="F29" s="14">
        <v>45000</v>
      </c>
    </row>
    <row r="30" spans="1:6" ht="30.6" x14ac:dyDescent="0.25">
      <c r="A30" s="12" t="s">
        <v>32</v>
      </c>
      <c r="B30" s="12"/>
      <c r="C30" s="12" t="s">
        <v>115</v>
      </c>
      <c r="D30" s="13" t="s">
        <v>116</v>
      </c>
      <c r="E30" s="12" t="s">
        <v>70</v>
      </c>
      <c r="F30" s="14">
        <v>78000</v>
      </c>
    </row>
    <row r="31" spans="1:6" x14ac:dyDescent="0.25">
      <c r="A31" s="12" t="s">
        <v>33</v>
      </c>
      <c r="B31" s="12"/>
      <c r="C31" s="12" t="s">
        <v>117</v>
      </c>
      <c r="D31" s="13" t="s">
        <v>118</v>
      </c>
      <c r="E31" s="12" t="s">
        <v>63</v>
      </c>
      <c r="F31" s="14">
        <v>48000</v>
      </c>
    </row>
    <row r="32" spans="1:6" x14ac:dyDescent="0.25">
      <c r="A32" s="12" t="s">
        <v>34</v>
      </c>
      <c r="B32" s="12"/>
      <c r="C32" s="12" t="s">
        <v>119</v>
      </c>
      <c r="D32" s="13" t="s">
        <v>120</v>
      </c>
      <c r="E32" s="12" t="s">
        <v>70</v>
      </c>
      <c r="F32" s="14">
        <v>4500</v>
      </c>
    </row>
    <row r="33" spans="1:6" x14ac:dyDescent="0.25">
      <c r="A33" s="12" t="s">
        <v>35</v>
      </c>
      <c r="B33" s="12"/>
      <c r="C33" s="12" t="s">
        <v>121</v>
      </c>
      <c r="D33" s="13" t="s">
        <v>102</v>
      </c>
      <c r="E33" s="12" t="s">
        <v>70</v>
      </c>
      <c r="F33" s="14">
        <v>65000</v>
      </c>
    </row>
    <row r="34" spans="1:6" x14ac:dyDescent="0.25">
      <c r="A34" s="12" t="s">
        <v>36</v>
      </c>
      <c r="B34" s="12"/>
      <c r="C34" s="12" t="s">
        <v>122</v>
      </c>
      <c r="D34" s="13" t="s">
        <v>123</v>
      </c>
      <c r="E34" s="12" t="s">
        <v>70</v>
      </c>
      <c r="F34" s="14">
        <v>135000</v>
      </c>
    </row>
    <row r="35" spans="1:6" ht="30.6" x14ac:dyDescent="0.25">
      <c r="A35" s="12" t="s">
        <v>37</v>
      </c>
      <c r="B35" s="12" t="s">
        <v>124</v>
      </c>
      <c r="C35" s="12"/>
      <c r="D35" s="13" t="s">
        <v>125</v>
      </c>
      <c r="E35" s="12" t="s">
        <v>126</v>
      </c>
      <c r="F35" s="14">
        <v>13800000</v>
      </c>
    </row>
    <row r="36" spans="1:6" x14ac:dyDescent="0.25">
      <c r="A36" s="12" t="s">
        <v>38</v>
      </c>
      <c r="B36" s="12" t="s">
        <v>127</v>
      </c>
      <c r="C36" s="12" t="s">
        <v>128</v>
      </c>
      <c r="D36" s="13" t="s">
        <v>129</v>
      </c>
      <c r="E36" s="12" t="s">
        <v>130</v>
      </c>
      <c r="F36" s="14">
        <v>18000</v>
      </c>
    </row>
    <row r="37" spans="1:6" x14ac:dyDescent="0.25">
      <c r="A37" s="12" t="s">
        <v>39</v>
      </c>
      <c r="B37" s="12" t="s">
        <v>131</v>
      </c>
      <c r="C37" s="12"/>
      <c r="D37" s="13" t="s">
        <v>129</v>
      </c>
      <c r="E37" s="12" t="s">
        <v>130</v>
      </c>
      <c r="F37" s="14">
        <v>18000</v>
      </c>
    </row>
    <row r="38" spans="1:6" x14ac:dyDescent="0.25">
      <c r="A38" s="12" t="s">
        <v>40</v>
      </c>
      <c r="B38" s="12" t="s">
        <v>132</v>
      </c>
      <c r="C38" s="12" t="s">
        <v>133</v>
      </c>
      <c r="D38" s="13" t="s">
        <v>134</v>
      </c>
      <c r="E38" s="12" t="s">
        <v>126</v>
      </c>
      <c r="F38" s="14">
        <v>38000000</v>
      </c>
    </row>
    <row r="39" spans="1:6" x14ac:dyDescent="0.25">
      <c r="A39" s="12" t="s">
        <v>41</v>
      </c>
      <c r="B39" s="12" t="s">
        <v>135</v>
      </c>
      <c r="C39" s="12"/>
      <c r="D39" s="13" t="s">
        <v>136</v>
      </c>
      <c r="E39" s="12" t="s">
        <v>137</v>
      </c>
      <c r="F39" s="14">
        <v>4500000</v>
      </c>
    </row>
    <row r="40" spans="1:6" x14ac:dyDescent="0.25">
      <c r="A40" s="12" t="s">
        <v>42</v>
      </c>
      <c r="B40" s="12" t="s">
        <v>138</v>
      </c>
      <c r="C40" s="12"/>
      <c r="D40" s="13" t="s">
        <v>139</v>
      </c>
      <c r="E40" s="12" t="s">
        <v>126</v>
      </c>
      <c r="F40" s="14">
        <v>22000000</v>
      </c>
    </row>
    <row r="41" spans="1:6" x14ac:dyDescent="0.25">
      <c r="A41" s="12" t="s">
        <v>43</v>
      </c>
      <c r="B41" s="12" t="s">
        <v>140</v>
      </c>
      <c r="C41" s="12"/>
      <c r="D41" s="13" t="s">
        <v>141</v>
      </c>
      <c r="E41" s="12" t="s">
        <v>142</v>
      </c>
      <c r="F41" s="14">
        <v>45000</v>
      </c>
    </row>
    <row r="42" spans="1:6" x14ac:dyDescent="0.25">
      <c r="A42" s="12" t="s">
        <v>44</v>
      </c>
      <c r="B42" s="12" t="s">
        <v>143</v>
      </c>
      <c r="C42" s="12"/>
      <c r="D42" s="13" t="s">
        <v>144</v>
      </c>
      <c r="E42" s="12" t="s">
        <v>145</v>
      </c>
      <c r="F42" s="14">
        <v>35000</v>
      </c>
    </row>
    <row r="43" spans="1:6" x14ac:dyDescent="0.25">
      <c r="A43" s="12" t="s">
        <v>45</v>
      </c>
      <c r="B43" s="12" t="s">
        <v>146</v>
      </c>
      <c r="C43" s="12"/>
      <c r="D43" s="13" t="s">
        <v>147</v>
      </c>
      <c r="E43" s="12" t="s">
        <v>148</v>
      </c>
      <c r="F43" s="14">
        <v>35000</v>
      </c>
    </row>
    <row r="44" spans="1:6" x14ac:dyDescent="0.25">
      <c r="A44" s="12" t="s">
        <v>46</v>
      </c>
      <c r="B44" s="12" t="s">
        <v>149</v>
      </c>
      <c r="C44" s="12"/>
      <c r="D44" s="13" t="s">
        <v>150</v>
      </c>
      <c r="E44" s="12" t="s">
        <v>126</v>
      </c>
      <c r="F44" s="14">
        <v>2500000</v>
      </c>
    </row>
    <row r="45" spans="1:6" x14ac:dyDescent="0.25">
      <c r="A45" s="12" t="s">
        <v>47</v>
      </c>
      <c r="B45" s="12" t="s">
        <v>151</v>
      </c>
      <c r="C45" s="12"/>
      <c r="D45" s="13" t="s">
        <v>152</v>
      </c>
      <c r="E45" s="12" t="s">
        <v>148</v>
      </c>
      <c r="F45" s="14">
        <v>42000</v>
      </c>
    </row>
    <row r="46" spans="1:6" x14ac:dyDescent="0.25">
      <c r="A46" s="12" t="s">
        <v>48</v>
      </c>
      <c r="B46" s="12" t="s">
        <v>153</v>
      </c>
      <c r="C46" s="12"/>
      <c r="D46" s="13" t="s">
        <v>154</v>
      </c>
      <c r="E46" s="12" t="s">
        <v>155</v>
      </c>
      <c r="F46" s="14">
        <v>12000</v>
      </c>
    </row>
    <row r="47" spans="1:6" x14ac:dyDescent="0.25">
      <c r="A47" s="12" t="s">
        <v>49</v>
      </c>
      <c r="B47" s="12" t="s">
        <v>156</v>
      </c>
      <c r="C47" s="12"/>
      <c r="D47" s="13" t="s">
        <v>157</v>
      </c>
      <c r="E47" s="12" t="s">
        <v>142</v>
      </c>
      <c r="F47" s="14">
        <v>65000</v>
      </c>
    </row>
    <row r="48" spans="1:6" x14ac:dyDescent="0.25">
      <c r="A48" s="12" t="s">
        <v>50</v>
      </c>
      <c r="B48" s="12" t="s">
        <v>158</v>
      </c>
      <c r="C48" s="12" t="s">
        <v>159</v>
      </c>
      <c r="D48" s="13" t="s">
        <v>160</v>
      </c>
      <c r="E48" s="12" t="s">
        <v>126</v>
      </c>
      <c r="F48" s="14">
        <v>38000000</v>
      </c>
    </row>
    <row r="49" spans="1:6" x14ac:dyDescent="0.25">
      <c r="A49" s="12" t="s">
        <v>51</v>
      </c>
      <c r="B49" s="12" t="s">
        <v>161</v>
      </c>
      <c r="C49" s="12" t="s">
        <v>162</v>
      </c>
      <c r="D49" s="13" t="s">
        <v>163</v>
      </c>
      <c r="E49" s="12" t="s">
        <v>126</v>
      </c>
      <c r="F49" s="14">
        <v>28000000</v>
      </c>
    </row>
    <row r="50" spans="1:6" x14ac:dyDescent="0.25">
      <c r="A50" s="12" t="s">
        <v>52</v>
      </c>
      <c r="B50" s="12" t="s">
        <v>164</v>
      </c>
      <c r="C50" s="12"/>
      <c r="D50" s="13" t="s">
        <v>165</v>
      </c>
      <c r="E50" s="12" t="s">
        <v>126</v>
      </c>
      <c r="F50" s="14">
        <v>28000000</v>
      </c>
    </row>
    <row r="51" spans="1:6" x14ac:dyDescent="0.25">
      <c r="A51" s="12" t="s">
        <v>53</v>
      </c>
      <c r="B51" s="12" t="s">
        <v>166</v>
      </c>
      <c r="C51" s="12"/>
      <c r="D51" s="13" t="s">
        <v>167</v>
      </c>
      <c r="E51" s="12" t="s">
        <v>126</v>
      </c>
      <c r="F51" s="14">
        <v>28000000</v>
      </c>
    </row>
    <row r="52" spans="1:6" x14ac:dyDescent="0.25">
      <c r="A52" s="12" t="s">
        <v>54</v>
      </c>
      <c r="B52" s="12" t="s">
        <v>168</v>
      </c>
      <c r="C52" s="12"/>
      <c r="D52" s="13" t="s">
        <v>169</v>
      </c>
      <c r="E52" s="12" t="s">
        <v>126</v>
      </c>
      <c r="F52" s="14">
        <v>45000000</v>
      </c>
    </row>
    <row r="53" spans="1:6" x14ac:dyDescent="0.25">
      <c r="A53" s="12" t="s">
        <v>55</v>
      </c>
      <c r="B53" s="12" t="s">
        <v>170</v>
      </c>
      <c r="C53" s="12" t="s">
        <v>171</v>
      </c>
      <c r="D53" s="13" t="s">
        <v>172</v>
      </c>
      <c r="E53" s="12" t="s">
        <v>126</v>
      </c>
      <c r="F53" s="14">
        <v>32000000</v>
      </c>
    </row>
    <row r="54" spans="1:6" x14ac:dyDescent="0.25">
      <c r="A54" s="12" t="s">
        <v>56</v>
      </c>
      <c r="B54" s="12" t="s">
        <v>173</v>
      </c>
      <c r="C54" s="12"/>
      <c r="D54" s="13" t="s">
        <v>174</v>
      </c>
      <c r="E54" s="12" t="s">
        <v>148</v>
      </c>
      <c r="F54" s="14">
        <v>45000</v>
      </c>
    </row>
    <row r="55" spans="1:6" x14ac:dyDescent="0.25">
      <c r="A55" s="12" t="s">
        <v>57</v>
      </c>
      <c r="B55" s="12" t="s">
        <v>175</v>
      </c>
      <c r="C55" s="12" t="s">
        <v>176</v>
      </c>
      <c r="D55" s="13" t="s">
        <v>177</v>
      </c>
      <c r="E55" s="12" t="s">
        <v>126</v>
      </c>
      <c r="F55" s="14">
        <v>28000000</v>
      </c>
    </row>
    <row r="56" spans="1:6" x14ac:dyDescent="0.25">
      <c r="A56" s="12" t="s">
        <v>58</v>
      </c>
      <c r="B56" s="12" t="s">
        <v>178</v>
      </c>
      <c r="C56" s="12"/>
      <c r="D56" s="13" t="s">
        <v>179</v>
      </c>
      <c r="E56" s="12" t="s">
        <v>148</v>
      </c>
      <c r="F56" s="14">
        <v>85000</v>
      </c>
    </row>
    <row r="57" spans="1:6" x14ac:dyDescent="0.25">
      <c r="A57" s="12" t="s">
        <v>59</v>
      </c>
      <c r="B57" s="12" t="s">
        <v>180</v>
      </c>
      <c r="C57" s="12" t="s">
        <v>181</v>
      </c>
      <c r="D57" s="13" t="s">
        <v>182</v>
      </c>
      <c r="E57" s="12" t="s">
        <v>126</v>
      </c>
      <c r="F57" s="14">
        <v>78000000</v>
      </c>
    </row>
    <row r="58" spans="1:6" x14ac:dyDescent="0.25">
      <c r="A58" s="8" t="s">
        <v>60</v>
      </c>
      <c r="B58" s="8" t="s">
        <v>183</v>
      </c>
      <c r="C58" s="8" t="s">
        <v>184</v>
      </c>
      <c r="D58" s="9" t="s">
        <v>185</v>
      </c>
      <c r="E58" s="8" t="s">
        <v>126</v>
      </c>
      <c r="F58" s="11">
        <f>_xlfn.XLOOKUP(D58,[1]RES!D$118:D$148,[1]RES!G$118:G$148)</f>
        <v>108000000</v>
      </c>
    </row>
    <row r="59" spans="1:6" x14ac:dyDescent="0.25">
      <c r="A59" s="12" t="s">
        <v>186</v>
      </c>
      <c r="B59" s="12" t="s">
        <v>187</v>
      </c>
      <c r="C59" s="12"/>
      <c r="D59" s="13" t="s">
        <v>188</v>
      </c>
      <c r="E59" s="12" t="s">
        <v>189</v>
      </c>
      <c r="F59" s="14">
        <v>120000</v>
      </c>
    </row>
    <row r="60" spans="1:6" x14ac:dyDescent="0.25">
      <c r="A60" s="12" t="s">
        <v>190</v>
      </c>
      <c r="B60" s="12" t="s">
        <v>191</v>
      </c>
      <c r="C60" s="12" t="s">
        <v>192</v>
      </c>
      <c r="D60" s="13" t="s">
        <v>193</v>
      </c>
      <c r="E60" s="12" t="s">
        <v>126</v>
      </c>
      <c r="F60" s="14">
        <v>18000000</v>
      </c>
    </row>
    <row r="61" spans="1:6" x14ac:dyDescent="0.25">
      <c r="A61" s="12" t="s">
        <v>194</v>
      </c>
      <c r="B61" s="12" t="s">
        <v>195</v>
      </c>
      <c r="C61" s="12"/>
      <c r="D61" s="13" t="s">
        <v>196</v>
      </c>
      <c r="E61" s="12" t="s">
        <v>126</v>
      </c>
      <c r="F61" s="14">
        <v>24000000</v>
      </c>
    </row>
    <row r="62" spans="1:6" ht="20.399999999999999" x14ac:dyDescent="0.25">
      <c r="A62" s="12" t="s">
        <v>197</v>
      </c>
      <c r="B62" s="12" t="s">
        <v>198</v>
      </c>
      <c r="C62" s="12" t="s">
        <v>199</v>
      </c>
      <c r="D62" s="13" t="s">
        <v>200</v>
      </c>
      <c r="E62" s="12" t="s">
        <v>126</v>
      </c>
      <c r="F62" s="14">
        <v>19000000</v>
      </c>
    </row>
    <row r="63" spans="1:6" ht="20.399999999999999" x14ac:dyDescent="0.25">
      <c r="A63" s="12" t="s">
        <v>201</v>
      </c>
      <c r="B63" s="12" t="s">
        <v>202</v>
      </c>
      <c r="C63" s="12" t="s">
        <v>203</v>
      </c>
      <c r="D63" s="13" t="s">
        <v>204</v>
      </c>
      <c r="E63" s="12" t="s">
        <v>126</v>
      </c>
      <c r="F63" s="14">
        <v>14500000</v>
      </c>
    </row>
    <row r="64" spans="1:6" x14ac:dyDescent="0.25">
      <c r="A64" s="12" t="s">
        <v>205</v>
      </c>
      <c r="B64" s="12" t="s">
        <v>206</v>
      </c>
      <c r="C64" s="12" t="s">
        <v>207</v>
      </c>
      <c r="D64" s="13" t="s">
        <v>208</v>
      </c>
      <c r="E64" s="12" t="s">
        <v>126</v>
      </c>
      <c r="F64" s="14">
        <v>32000000</v>
      </c>
    </row>
    <row r="65" spans="1:6" x14ac:dyDescent="0.25">
      <c r="A65" s="8" t="s">
        <v>209</v>
      </c>
      <c r="B65" s="8" t="s">
        <v>210</v>
      </c>
      <c r="C65" s="8"/>
      <c r="D65" s="16" t="s">
        <v>211</v>
      </c>
      <c r="E65" s="8" t="s">
        <v>126</v>
      </c>
      <c r="F65" s="11">
        <f>188400*1000</f>
        <v>188400000</v>
      </c>
    </row>
    <row r="66" spans="1:6" x14ac:dyDescent="0.25">
      <c r="A66" s="8" t="s">
        <v>212</v>
      </c>
      <c r="B66" s="8" t="s">
        <v>213</v>
      </c>
      <c r="C66" s="8"/>
      <c r="D66" s="16" t="s">
        <v>214</v>
      </c>
      <c r="E66" s="8" t="s">
        <v>148</v>
      </c>
      <c r="F66" s="10">
        <v>188400</v>
      </c>
    </row>
    <row r="67" spans="1:6" x14ac:dyDescent="0.25">
      <c r="A67" s="8" t="s">
        <v>215</v>
      </c>
      <c r="B67" s="8" t="s">
        <v>216</v>
      </c>
      <c r="C67" s="8" t="s">
        <v>217</v>
      </c>
      <c r="D67" s="9" t="s">
        <v>218</v>
      </c>
      <c r="E67" s="8" t="s">
        <v>126</v>
      </c>
      <c r="F67" s="10">
        <v>54000</v>
      </c>
    </row>
    <row r="68" spans="1:6" ht="20.399999999999999" x14ac:dyDescent="0.25">
      <c r="A68" s="8" t="s">
        <v>219</v>
      </c>
      <c r="B68" s="8" t="s">
        <v>220</v>
      </c>
      <c r="C68" s="8"/>
      <c r="D68" s="9" t="s">
        <v>221</v>
      </c>
      <c r="E68" s="8" t="s">
        <v>126</v>
      </c>
      <c r="F68" s="10">
        <v>135000000</v>
      </c>
    </row>
    <row r="69" spans="1:6" ht="20.399999999999999" x14ac:dyDescent="0.25">
      <c r="A69" s="8" t="s">
        <v>222</v>
      </c>
      <c r="B69" s="8" t="s">
        <v>223</v>
      </c>
      <c r="C69" s="8"/>
      <c r="D69" s="9" t="s">
        <v>224</v>
      </c>
      <c r="E69" s="8" t="s">
        <v>130</v>
      </c>
      <c r="F69" s="10">
        <v>5432500</v>
      </c>
    </row>
    <row r="70" spans="1:6" ht="20.399999999999999" x14ac:dyDescent="0.25">
      <c r="A70" s="8" t="s">
        <v>225</v>
      </c>
      <c r="B70" s="8" t="s">
        <v>226</v>
      </c>
      <c r="C70" s="8"/>
      <c r="D70" s="9" t="s">
        <v>227</v>
      </c>
      <c r="E70" s="8" t="s">
        <v>130</v>
      </c>
      <c r="F70" s="10">
        <v>3651000</v>
      </c>
    </row>
    <row r="71" spans="1:6" ht="20.399999999999999" x14ac:dyDescent="0.25">
      <c r="A71" s="8" t="s">
        <v>228</v>
      </c>
      <c r="B71" s="8" t="s">
        <v>229</v>
      </c>
      <c r="C71" s="8"/>
      <c r="D71" s="9" t="s">
        <v>230</v>
      </c>
      <c r="E71" s="8" t="s">
        <v>130</v>
      </c>
      <c r="F71" s="10">
        <v>3651000</v>
      </c>
    </row>
    <row r="72" spans="1:6" ht="20.399999999999999" x14ac:dyDescent="0.25">
      <c r="A72" s="8" t="s">
        <v>231</v>
      </c>
      <c r="B72" s="8" t="s">
        <v>232</v>
      </c>
      <c r="C72" s="8" t="s">
        <v>233</v>
      </c>
      <c r="D72" s="9" t="s">
        <v>234</v>
      </c>
      <c r="E72" s="8" t="s">
        <v>70</v>
      </c>
      <c r="F72" s="10">
        <v>4018799.9999999995</v>
      </c>
    </row>
    <row r="73" spans="1:6" x14ac:dyDescent="0.25">
      <c r="A73" s="8" t="s">
        <v>235</v>
      </c>
      <c r="B73" s="8" t="s">
        <v>236</v>
      </c>
      <c r="C73" s="8"/>
      <c r="D73" s="9" t="s">
        <v>237</v>
      </c>
      <c r="E73" s="8" t="s">
        <v>126</v>
      </c>
      <c r="F73" s="10">
        <v>14250000</v>
      </c>
    </row>
    <row r="74" spans="1:6" x14ac:dyDescent="0.25">
      <c r="A74" s="8" t="s">
        <v>238</v>
      </c>
      <c r="B74" s="8" t="s">
        <v>239</v>
      </c>
      <c r="C74" s="8"/>
      <c r="D74" s="9" t="s">
        <v>240</v>
      </c>
      <c r="E74" s="8" t="s">
        <v>126</v>
      </c>
      <c r="F74" s="10">
        <v>10500000</v>
      </c>
    </row>
    <row r="75" spans="1:6" x14ac:dyDescent="0.25">
      <c r="A75" s="8" t="s">
        <v>241</v>
      </c>
      <c r="B75" s="8" t="s">
        <v>242</v>
      </c>
      <c r="C75" s="8"/>
      <c r="D75" s="9" t="s">
        <v>243</v>
      </c>
      <c r="E75" s="8" t="s">
        <v>148</v>
      </c>
      <c r="F75" s="10">
        <v>28000</v>
      </c>
    </row>
    <row r="76" spans="1:6" x14ac:dyDescent="0.25">
      <c r="A76" s="8" t="s">
        <v>244</v>
      </c>
      <c r="B76" s="8" t="s">
        <v>245</v>
      </c>
      <c r="C76" s="8"/>
      <c r="D76" s="9" t="s">
        <v>246</v>
      </c>
      <c r="E76" s="8" t="s">
        <v>148</v>
      </c>
      <c r="F76" s="10">
        <v>14740</v>
      </c>
    </row>
    <row r="77" spans="1:6" x14ac:dyDescent="0.25">
      <c r="A77" s="8" t="s">
        <v>247</v>
      </c>
      <c r="B77" s="8" t="s">
        <v>248</v>
      </c>
      <c r="C77" s="8"/>
      <c r="D77" s="9" t="s">
        <v>249</v>
      </c>
      <c r="E77" s="8" t="s">
        <v>250</v>
      </c>
      <c r="F77" s="10">
        <v>30000</v>
      </c>
    </row>
    <row r="78" spans="1:6" x14ac:dyDescent="0.25">
      <c r="A78" s="8" t="s">
        <v>251</v>
      </c>
      <c r="B78" s="8" t="s">
        <v>252</v>
      </c>
      <c r="C78" s="8"/>
      <c r="D78" s="9" t="s">
        <v>253</v>
      </c>
      <c r="E78" s="8" t="s">
        <v>189</v>
      </c>
      <c r="F78" s="10">
        <v>57500</v>
      </c>
    </row>
    <row r="79" spans="1:6" x14ac:dyDescent="0.25">
      <c r="A79" s="8" t="s">
        <v>254</v>
      </c>
      <c r="B79" s="8" t="s">
        <v>255</v>
      </c>
      <c r="C79" s="8"/>
      <c r="D79" s="18" t="s">
        <v>256</v>
      </c>
      <c r="E79" s="8" t="s">
        <v>63</v>
      </c>
      <c r="F79" s="10">
        <v>20000</v>
      </c>
    </row>
    <row r="80" spans="1:6" x14ac:dyDescent="0.25">
      <c r="A80" s="8" t="s">
        <v>257</v>
      </c>
      <c r="B80" s="8" t="s">
        <v>258</v>
      </c>
      <c r="C80" s="8"/>
      <c r="D80" s="9" t="s">
        <v>259</v>
      </c>
      <c r="E80" s="8" t="s">
        <v>142</v>
      </c>
      <c r="F80" s="10">
        <v>55000</v>
      </c>
    </row>
    <row r="81" spans="1:6" x14ac:dyDescent="0.25">
      <c r="A81" s="8" t="s">
        <v>260</v>
      </c>
      <c r="B81" s="8" t="s">
        <v>261</v>
      </c>
      <c r="C81" s="8"/>
      <c r="D81" s="9" t="s">
        <v>262</v>
      </c>
      <c r="E81" s="8" t="s">
        <v>63</v>
      </c>
      <c r="F81" s="10">
        <v>15000</v>
      </c>
    </row>
    <row r="82" spans="1:6" x14ac:dyDescent="0.25">
      <c r="A82" s="8" t="s">
        <v>263</v>
      </c>
      <c r="B82" s="8" t="s">
        <v>264</v>
      </c>
      <c r="C82" s="8"/>
      <c r="D82" s="9" t="s">
        <v>265</v>
      </c>
      <c r="E82" s="8" t="s">
        <v>148</v>
      </c>
      <c r="F82" s="10">
        <v>850000</v>
      </c>
    </row>
    <row r="83" spans="1:6" x14ac:dyDescent="0.25">
      <c r="A83" s="8" t="s">
        <v>266</v>
      </c>
      <c r="B83" s="8" t="s">
        <v>267</v>
      </c>
      <c r="C83" s="8"/>
      <c r="D83" s="9" t="s">
        <v>268</v>
      </c>
      <c r="E83" s="8" t="s">
        <v>145</v>
      </c>
      <c r="F83" s="10">
        <v>120000</v>
      </c>
    </row>
    <row r="84" spans="1:6" x14ac:dyDescent="0.25">
      <c r="A84" s="8" t="s">
        <v>269</v>
      </c>
      <c r="B84" s="8" t="s">
        <v>270</v>
      </c>
      <c r="C84" s="8"/>
      <c r="D84" s="9" t="s">
        <v>271</v>
      </c>
      <c r="E84" s="8" t="s">
        <v>272</v>
      </c>
      <c r="F84" s="10">
        <v>650000</v>
      </c>
    </row>
    <row r="85" spans="1:6" x14ac:dyDescent="0.25">
      <c r="A85" s="8" t="s">
        <v>273</v>
      </c>
      <c r="B85" s="8" t="s">
        <v>274</v>
      </c>
      <c r="C85" s="8"/>
      <c r="D85" s="9" t="s">
        <v>275</v>
      </c>
      <c r="E85" s="8" t="s">
        <v>63</v>
      </c>
      <c r="F85" s="10">
        <v>1200000</v>
      </c>
    </row>
    <row r="86" spans="1:6" x14ac:dyDescent="0.25">
      <c r="A86" s="8" t="s">
        <v>276</v>
      </c>
      <c r="B86" s="8" t="s">
        <v>277</v>
      </c>
      <c r="C86" s="8"/>
      <c r="D86" s="9" t="s">
        <v>278</v>
      </c>
      <c r="E86" s="8" t="s">
        <v>145</v>
      </c>
      <c r="F86" s="10">
        <v>12000</v>
      </c>
    </row>
    <row r="87" spans="1:6" x14ac:dyDescent="0.25">
      <c r="A87" s="8" t="s">
        <v>279</v>
      </c>
      <c r="B87" s="8" t="s">
        <v>280</v>
      </c>
      <c r="C87" s="8"/>
      <c r="D87" s="9" t="s">
        <v>281</v>
      </c>
      <c r="E87" s="8" t="s">
        <v>63</v>
      </c>
      <c r="F87" s="10">
        <v>4500</v>
      </c>
    </row>
    <row r="88" spans="1:6" x14ac:dyDescent="0.25">
      <c r="A88" s="8" t="s">
        <v>282</v>
      </c>
      <c r="B88" s="8" t="s">
        <v>283</v>
      </c>
      <c r="C88" s="8"/>
      <c r="D88" s="9" t="s">
        <v>284</v>
      </c>
      <c r="E88" s="8" t="s">
        <v>250</v>
      </c>
      <c r="F88" s="10">
        <v>1050000</v>
      </c>
    </row>
    <row r="89" spans="1:6" x14ac:dyDescent="0.25">
      <c r="A89" s="8" t="s">
        <v>285</v>
      </c>
      <c r="B89" s="8" t="s">
        <v>286</v>
      </c>
      <c r="C89" s="8"/>
      <c r="D89" s="9" t="s">
        <v>287</v>
      </c>
      <c r="E89" s="8" t="s">
        <v>126</v>
      </c>
      <c r="F89" s="10">
        <v>16000000</v>
      </c>
    </row>
    <row r="90" spans="1:6" x14ac:dyDescent="0.25">
      <c r="A90" s="8" t="s">
        <v>288</v>
      </c>
      <c r="B90" s="8" t="s">
        <v>289</v>
      </c>
      <c r="C90" s="8"/>
      <c r="D90" s="9" t="s">
        <v>290</v>
      </c>
      <c r="E90" s="8" t="s">
        <v>148</v>
      </c>
      <c r="F90" s="10">
        <v>65000</v>
      </c>
    </row>
    <row r="91" spans="1:6" x14ac:dyDescent="0.25">
      <c r="A91" s="8" t="s">
        <v>291</v>
      </c>
      <c r="B91" s="8" t="s">
        <v>292</v>
      </c>
      <c r="C91" s="8"/>
      <c r="D91" s="9" t="s">
        <v>293</v>
      </c>
      <c r="E91" s="8" t="s">
        <v>155</v>
      </c>
      <c r="F91" s="10">
        <v>14000</v>
      </c>
    </row>
    <row r="92" spans="1:6" ht="30.6" x14ac:dyDescent="0.25">
      <c r="A92" s="8" t="s">
        <v>294</v>
      </c>
      <c r="B92" s="8" t="s">
        <v>295</v>
      </c>
      <c r="C92" s="8"/>
      <c r="D92" s="9" t="s">
        <v>296</v>
      </c>
      <c r="E92" s="8" t="s">
        <v>297</v>
      </c>
      <c r="F92" s="10">
        <v>3200000</v>
      </c>
    </row>
    <row r="93" spans="1:6" x14ac:dyDescent="0.25">
      <c r="A93" s="8" t="s">
        <v>298</v>
      </c>
      <c r="B93" s="8" t="s">
        <v>299</v>
      </c>
      <c r="C93" s="8"/>
      <c r="D93" s="9" t="s">
        <v>300</v>
      </c>
      <c r="E93" s="8" t="s">
        <v>63</v>
      </c>
      <c r="F93" s="10">
        <v>1300000</v>
      </c>
    </row>
    <row r="94" spans="1:6" x14ac:dyDescent="0.25">
      <c r="A94" s="8" t="s">
        <v>301</v>
      </c>
      <c r="B94" s="8" t="s">
        <v>302</v>
      </c>
      <c r="C94" s="8"/>
      <c r="D94" s="9" t="s">
        <v>303</v>
      </c>
      <c r="E94" s="8" t="s">
        <v>148</v>
      </c>
      <c r="F94" s="10">
        <v>285000</v>
      </c>
    </row>
    <row r="95" spans="1:6" x14ac:dyDescent="0.25">
      <c r="A95" s="8" t="s">
        <v>304</v>
      </c>
      <c r="B95" s="8" t="s">
        <v>305</v>
      </c>
      <c r="C95" s="8"/>
      <c r="D95" s="9" t="s">
        <v>306</v>
      </c>
      <c r="E95" s="8" t="s">
        <v>126</v>
      </c>
      <c r="F95" s="10">
        <v>25500000</v>
      </c>
    </row>
    <row r="96" spans="1:6" x14ac:dyDescent="0.25">
      <c r="A96" s="8" t="s">
        <v>307</v>
      </c>
      <c r="B96" s="8" t="s">
        <v>308</v>
      </c>
      <c r="C96" s="8"/>
      <c r="D96" s="9" t="s">
        <v>309</v>
      </c>
      <c r="E96" s="8" t="s">
        <v>63</v>
      </c>
      <c r="F96" s="10">
        <v>1200000</v>
      </c>
    </row>
    <row r="97" spans="1:6" x14ac:dyDescent="0.25">
      <c r="A97" s="12" t="s">
        <v>310</v>
      </c>
      <c r="B97" s="12" t="s">
        <v>311</v>
      </c>
      <c r="C97" s="12"/>
      <c r="D97" s="13" t="s">
        <v>312</v>
      </c>
      <c r="E97" s="12" t="s">
        <v>313</v>
      </c>
      <c r="F97" s="14">
        <v>450000</v>
      </c>
    </row>
    <row r="98" spans="1:6" x14ac:dyDescent="0.25">
      <c r="A98" s="12" t="s">
        <v>314</v>
      </c>
      <c r="B98" s="12" t="s">
        <v>315</v>
      </c>
      <c r="C98" s="12"/>
      <c r="D98" s="13" t="s">
        <v>316</v>
      </c>
      <c r="E98" s="12" t="s">
        <v>63</v>
      </c>
      <c r="F98" s="14">
        <v>8000</v>
      </c>
    </row>
    <row r="99" spans="1:6" x14ac:dyDescent="0.25">
      <c r="A99" s="12" t="s">
        <v>317</v>
      </c>
      <c r="B99" s="12" t="s">
        <v>318</v>
      </c>
      <c r="C99" s="12"/>
      <c r="D99" s="13" t="s">
        <v>319</v>
      </c>
      <c r="E99" s="12" t="s">
        <v>148</v>
      </c>
      <c r="F99" s="14">
        <v>95000</v>
      </c>
    </row>
    <row r="100" spans="1:6" x14ac:dyDescent="0.25">
      <c r="A100" s="12" t="s">
        <v>320</v>
      </c>
      <c r="B100" s="12" t="s">
        <v>321</v>
      </c>
      <c r="C100" s="12"/>
      <c r="D100" s="13" t="s">
        <v>322</v>
      </c>
      <c r="E100" s="12" t="s">
        <v>145</v>
      </c>
      <c r="F100" s="14">
        <v>35000</v>
      </c>
    </row>
    <row r="101" spans="1:6" x14ac:dyDescent="0.25">
      <c r="A101" s="12" t="s">
        <v>323</v>
      </c>
      <c r="B101" s="12" t="s">
        <v>324</v>
      </c>
      <c r="C101" s="12"/>
      <c r="D101" s="13" t="s">
        <v>325</v>
      </c>
      <c r="E101" s="12" t="s">
        <v>145</v>
      </c>
      <c r="F101" s="14">
        <v>150000</v>
      </c>
    </row>
    <row r="102" spans="1:6" x14ac:dyDescent="0.25">
      <c r="A102" s="12" t="s">
        <v>326</v>
      </c>
      <c r="B102" s="12" t="s">
        <v>327</v>
      </c>
      <c r="C102" s="12"/>
      <c r="D102" s="13" t="s">
        <v>328</v>
      </c>
      <c r="E102" s="12" t="s">
        <v>148</v>
      </c>
      <c r="F102" s="14">
        <v>260000</v>
      </c>
    </row>
    <row r="103" spans="1:6" ht="20.399999999999999" x14ac:dyDescent="0.25">
      <c r="A103" s="12" t="s">
        <v>329</v>
      </c>
      <c r="B103" s="12" t="s">
        <v>330</v>
      </c>
      <c r="C103" s="12"/>
      <c r="D103" s="13" t="s">
        <v>331</v>
      </c>
      <c r="E103" s="12" t="s">
        <v>126</v>
      </c>
      <c r="F103" s="14">
        <v>14500000</v>
      </c>
    </row>
    <row r="104" spans="1:6" x14ac:dyDescent="0.25">
      <c r="A104" s="12" t="s">
        <v>332</v>
      </c>
      <c r="B104" s="12" t="s">
        <v>333</v>
      </c>
      <c r="C104" s="12"/>
      <c r="D104" s="13" t="s">
        <v>334</v>
      </c>
      <c r="E104" s="12" t="s">
        <v>63</v>
      </c>
      <c r="F104" s="14">
        <v>45000</v>
      </c>
    </row>
    <row r="105" spans="1:6" x14ac:dyDescent="0.25">
      <c r="A105" s="12" t="s">
        <v>335</v>
      </c>
      <c r="B105" s="12" t="s">
        <v>336</v>
      </c>
      <c r="C105" s="12"/>
      <c r="D105" s="13" t="s">
        <v>337</v>
      </c>
      <c r="E105" s="12" t="s">
        <v>250</v>
      </c>
      <c r="F105" s="14">
        <v>15000</v>
      </c>
    </row>
    <row r="106" spans="1:6" ht="20.399999999999999" x14ac:dyDescent="0.25">
      <c r="A106" s="12" t="s">
        <v>338</v>
      </c>
      <c r="B106" s="12" t="s">
        <v>339</v>
      </c>
      <c r="C106" s="12" t="s">
        <v>340</v>
      </c>
      <c r="D106" s="17" t="s">
        <v>341</v>
      </c>
      <c r="E106" s="12" t="s">
        <v>126</v>
      </c>
      <c r="F106" s="14">
        <v>18000</v>
      </c>
    </row>
    <row r="107" spans="1:6" ht="30.6" x14ac:dyDescent="0.25">
      <c r="A107" s="12" t="s">
        <v>342</v>
      </c>
      <c r="B107" s="12" t="s">
        <v>343</v>
      </c>
      <c r="C107" s="12" t="s">
        <v>344</v>
      </c>
      <c r="D107" s="13" t="s">
        <v>345</v>
      </c>
      <c r="E107" s="12" t="s">
        <v>148</v>
      </c>
      <c r="F107" s="14">
        <v>140000</v>
      </c>
    </row>
    <row r="108" spans="1:6" x14ac:dyDescent="0.25">
      <c r="A108" s="12" t="s">
        <v>346</v>
      </c>
      <c r="B108" s="12" t="s">
        <v>347</v>
      </c>
      <c r="C108" s="12"/>
      <c r="D108" s="13" t="s">
        <v>348</v>
      </c>
      <c r="E108" s="12" t="s">
        <v>126</v>
      </c>
      <c r="F108" s="14">
        <v>240000000</v>
      </c>
    </row>
    <row r="109" spans="1:6" ht="30.6" x14ac:dyDescent="0.25">
      <c r="A109" s="12" t="s">
        <v>349</v>
      </c>
      <c r="B109" s="12" t="s">
        <v>350</v>
      </c>
      <c r="C109" s="12"/>
      <c r="D109" s="13" t="s">
        <v>351</v>
      </c>
      <c r="E109" s="12" t="s">
        <v>126</v>
      </c>
      <c r="F109" s="14">
        <v>28000000</v>
      </c>
    </row>
    <row r="110" spans="1:6" x14ac:dyDescent="0.25">
      <c r="A110" s="8" t="s">
        <v>6</v>
      </c>
      <c r="B110" s="8" t="s">
        <v>352</v>
      </c>
      <c r="C110" s="8" t="s">
        <v>353</v>
      </c>
      <c r="D110" s="9" t="s">
        <v>354</v>
      </c>
      <c r="E110" s="8" t="s">
        <v>130</v>
      </c>
      <c r="F110" s="10">
        <v>599750</v>
      </c>
    </row>
    <row r="111" spans="1:6" x14ac:dyDescent="0.25">
      <c r="A111" s="8" t="s">
        <v>7</v>
      </c>
      <c r="B111" s="8" t="s">
        <v>355</v>
      </c>
      <c r="C111" s="8" t="s">
        <v>356</v>
      </c>
      <c r="D111" s="9" t="s">
        <v>357</v>
      </c>
      <c r="E111" s="8" t="s">
        <v>130</v>
      </c>
      <c r="F111" s="10">
        <v>599750</v>
      </c>
    </row>
    <row r="112" spans="1:6" x14ac:dyDescent="0.25">
      <c r="A112" s="8" t="s">
        <v>8</v>
      </c>
      <c r="B112" s="8" t="s">
        <v>358</v>
      </c>
      <c r="C112" s="8"/>
      <c r="D112" s="9" t="s">
        <v>359</v>
      </c>
      <c r="E112" s="8" t="s">
        <v>130</v>
      </c>
      <c r="F112" s="10">
        <v>133928.57</v>
      </c>
    </row>
    <row r="113" spans="1:6" ht="20.399999999999999" x14ac:dyDescent="0.25">
      <c r="A113" s="8" t="s">
        <v>9</v>
      </c>
      <c r="B113" s="8" t="s">
        <v>360</v>
      </c>
      <c r="C113" s="8"/>
      <c r="D113" s="9" t="s">
        <v>361</v>
      </c>
      <c r="E113" s="8" t="s">
        <v>130</v>
      </c>
      <c r="F113" s="10">
        <v>125500.00000000001</v>
      </c>
    </row>
    <row r="114" spans="1:6" x14ac:dyDescent="0.25">
      <c r="A114" s="8" t="s">
        <v>10</v>
      </c>
      <c r="B114" s="8" t="s">
        <v>362</v>
      </c>
      <c r="C114" s="8"/>
      <c r="D114" s="9" t="s">
        <v>363</v>
      </c>
      <c r="E114" s="8" t="s">
        <v>130</v>
      </c>
      <c r="F114" s="10">
        <v>599750</v>
      </c>
    </row>
    <row r="115" spans="1:6" x14ac:dyDescent="0.25">
      <c r="A115" s="8" t="s">
        <v>11</v>
      </c>
      <c r="B115" s="8" t="s">
        <v>364</v>
      </c>
      <c r="C115" s="8"/>
      <c r="D115" s="9" t="s">
        <v>365</v>
      </c>
      <c r="E115" s="8" t="s">
        <v>130</v>
      </c>
      <c r="F115" s="10">
        <v>560000</v>
      </c>
    </row>
    <row r="116" spans="1:6" ht="20.399999999999999" x14ac:dyDescent="0.25">
      <c r="A116" s="8" t="s">
        <v>12</v>
      </c>
      <c r="B116" s="8" t="s">
        <v>366</v>
      </c>
      <c r="C116" s="8"/>
      <c r="D116" s="9" t="s">
        <v>367</v>
      </c>
      <c r="E116" s="8" t="s">
        <v>130</v>
      </c>
      <c r="F116" s="10">
        <v>133928.57</v>
      </c>
    </row>
    <row r="117" spans="1:6" x14ac:dyDescent="0.25">
      <c r="A117" s="8" t="s">
        <v>13</v>
      </c>
      <c r="B117" s="8" t="s">
        <v>368</v>
      </c>
      <c r="C117" s="8"/>
      <c r="D117" s="9" t="s">
        <v>369</v>
      </c>
      <c r="E117" s="8" t="s">
        <v>130</v>
      </c>
      <c r="F117" s="10">
        <v>125500.00000000001</v>
      </c>
    </row>
    <row r="118" spans="1:6" ht="132.6" x14ac:dyDescent="0.25">
      <c r="A118" s="8" t="s">
        <v>6</v>
      </c>
      <c r="B118" s="8"/>
      <c r="C118" s="8" t="s">
        <v>370</v>
      </c>
      <c r="D118" s="9" t="s">
        <v>371</v>
      </c>
      <c r="E118" s="8" t="s">
        <v>372</v>
      </c>
      <c r="F118" s="10">
        <v>40800000</v>
      </c>
    </row>
    <row r="119" spans="1:6" ht="132.6" x14ac:dyDescent="0.25">
      <c r="A119" s="8" t="s">
        <v>7</v>
      </c>
      <c r="B119" s="8"/>
      <c r="C119" s="8" t="s">
        <v>373</v>
      </c>
      <c r="D119" s="9" t="s">
        <v>374</v>
      </c>
      <c r="E119" s="8" t="s">
        <v>372</v>
      </c>
      <c r="F119" s="10">
        <v>278400000</v>
      </c>
    </row>
    <row r="120" spans="1:6" ht="132.6" x14ac:dyDescent="0.25">
      <c r="A120" s="8" t="s">
        <v>8</v>
      </c>
      <c r="B120" s="8"/>
      <c r="C120" s="8" t="s">
        <v>375</v>
      </c>
      <c r="D120" s="9" t="s">
        <v>376</v>
      </c>
      <c r="E120" s="8" t="s">
        <v>372</v>
      </c>
      <c r="F120" s="10">
        <v>180000000</v>
      </c>
    </row>
    <row r="121" spans="1:6" x14ac:dyDescent="0.25">
      <c r="A121" s="8" t="s">
        <v>9</v>
      </c>
      <c r="B121" s="8"/>
      <c r="C121" s="8" t="s">
        <v>377</v>
      </c>
      <c r="D121" s="9" t="s">
        <v>378</v>
      </c>
      <c r="E121" s="8" t="s">
        <v>70</v>
      </c>
      <c r="F121" s="10">
        <v>36000</v>
      </c>
    </row>
    <row r="122" spans="1:6" x14ac:dyDescent="0.25">
      <c r="A122" s="8" t="s">
        <v>6</v>
      </c>
      <c r="B122" s="8"/>
      <c r="C122" s="8" t="s">
        <v>379</v>
      </c>
      <c r="D122" s="15" t="s">
        <v>380</v>
      </c>
      <c r="E122" s="8" t="s">
        <v>63</v>
      </c>
      <c r="F122" s="10">
        <v>19200000</v>
      </c>
    </row>
    <row r="123" spans="1:6" x14ac:dyDescent="0.25">
      <c r="A123" s="8" t="s">
        <v>7</v>
      </c>
      <c r="B123" s="8"/>
      <c r="C123" s="8" t="s">
        <v>381</v>
      </c>
      <c r="D123" s="15" t="s">
        <v>382</v>
      </c>
      <c r="E123" s="8" t="s">
        <v>63</v>
      </c>
      <c r="F123" s="10">
        <v>96000000</v>
      </c>
    </row>
    <row r="124" spans="1:6" x14ac:dyDescent="0.25">
      <c r="A124" s="8" t="s">
        <v>8</v>
      </c>
      <c r="B124" s="8"/>
      <c r="C124" s="8" t="s">
        <v>383</v>
      </c>
      <c r="D124" s="15" t="s">
        <v>384</v>
      </c>
      <c r="E124" s="8" t="s">
        <v>63</v>
      </c>
      <c r="F124" s="10">
        <v>72000000</v>
      </c>
    </row>
    <row r="125" spans="1:6" x14ac:dyDescent="0.25">
      <c r="A125" s="8" t="s">
        <v>9</v>
      </c>
      <c r="B125" s="8"/>
      <c r="C125" s="8" t="s">
        <v>385</v>
      </c>
      <c r="D125" s="15" t="s">
        <v>386</v>
      </c>
      <c r="E125" s="8" t="s">
        <v>63</v>
      </c>
      <c r="F125" s="10">
        <v>72000000</v>
      </c>
    </row>
    <row r="126" spans="1:6" x14ac:dyDescent="0.25">
      <c r="A126" s="12" t="s">
        <v>10</v>
      </c>
      <c r="B126" s="12"/>
      <c r="C126" s="8" t="s">
        <v>387</v>
      </c>
      <c r="D126" s="15" t="s">
        <v>388</v>
      </c>
      <c r="E126" s="8" t="s">
        <v>63</v>
      </c>
      <c r="F126" s="10">
        <f>99*12000</f>
        <v>1188000</v>
      </c>
    </row>
    <row r="127" spans="1:6" x14ac:dyDescent="0.25">
      <c r="A127" s="8" t="s">
        <v>11</v>
      </c>
      <c r="B127" s="8"/>
      <c r="C127" s="8" t="s">
        <v>389</v>
      </c>
      <c r="D127" s="15" t="s">
        <v>390</v>
      </c>
      <c r="E127" s="8" t="s">
        <v>63</v>
      </c>
      <c r="F127" s="10">
        <v>120000000</v>
      </c>
    </row>
    <row r="128" spans="1:6" x14ac:dyDescent="0.25">
      <c r="A128" s="8" t="s">
        <v>12</v>
      </c>
      <c r="B128" s="8"/>
      <c r="C128" s="8" t="s">
        <v>391</v>
      </c>
      <c r="D128" s="15" t="s">
        <v>392</v>
      </c>
      <c r="E128" s="8" t="s">
        <v>63</v>
      </c>
      <c r="F128" s="10">
        <v>144000000</v>
      </c>
    </row>
    <row r="132" spans="4:5" x14ac:dyDescent="0.25">
      <c r="D132" s="3"/>
      <c r="E132" s="3"/>
    </row>
    <row r="135" spans="4:5" x14ac:dyDescent="0.25">
      <c r="D135" s="3"/>
      <c r="E135" s="3"/>
    </row>
  </sheetData>
  <autoFilter ref="A3:F128" xr:uid="{34FA29D2-0F6F-4780-9B5F-D816E653E678}"/>
  <pageMargins left="0.59" right="0.39" top="0.98" bottom="0.98" header="0.51" footer="0.51"/>
  <pageSetup paperSize="9" scale="85" orientation="portrait" verticalDpi="0"/>
  <headerFooter>
    <oddHeader>&amp;L&amp;7ПРОГРАММНЫЙ КОМПЛЕКС TNQURILISH 5.0&amp;R&amp;7 321-4516-22975</oddHeader>
    <oddFooter xml:space="preserve">&amp;L&amp;7 &amp;CСтраница &amp;P&amp;R&amp;7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РЕСУРСНАЯ СМЕТА</dc:title>
  <dc:creator>Реймбаев Камилжан Оразбоевич</dc:creator>
  <cp:lastModifiedBy>Пользователь</cp:lastModifiedBy>
  <cp:lastPrinted>2010-12-23T17:04:24Z</cp:lastPrinted>
  <dcterms:created xsi:type="dcterms:W3CDTF">2005-03-16T05:26:07Z</dcterms:created>
  <dcterms:modified xsi:type="dcterms:W3CDTF">2026-10-14T11:50:35Z</dcterms:modified>
</cp:coreProperties>
</file>